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theme/theme1.xml" ContentType="application/vnd.openxmlformats-officedocument.theme+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worksheets/sheet5.xml" ContentType="application/vnd.openxmlformats-officedocument.spreadsheetml.worksheet+xml"/>
  <Override PartName="/xl/styles.xml" ContentType="application/vnd.openxmlformats-officedocument.spreadsheetml.styles+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Préfixes" sheetId="1" state="visible" r:id="rId1"/>
    <sheet name="Metadata" sheetId="2" state="visible" r:id="rId2"/>
    <sheet name="Classes" sheetId="3" state="visible" r:id="rId3"/>
    <sheet name="Propriétés" sheetId="4" state="visible" r:id="rId4"/>
    <sheet name="Business Rules" sheetId="5" state="visible" r:id="rId5"/>
    <sheet name="Conversion rules" sheetId="6" state="visible" r:id="rId6"/>
    <sheet name="Contraintes" sheetId="7" state="visible" r:id="rId7"/>
    <sheet name="Diagrams" sheetId="8" state="visible" r:id="rId8"/>
  </sheets>
  <calcPr/>
  <extLst>
    <ext xmlns:x15="http://schemas.microsoft.com/office/spreadsheetml/2010/11/main" uri="{D0CA8CA8-9F24-4464-BF8E-62219DCF47F9}"/>
  </extLst>
</workbook>
</file>

<file path=xl/sharedStrings.xml><?xml version="1.0" encoding="utf-8"?>
<sst xmlns="http://schemas.openxmlformats.org/spreadsheetml/2006/main" count="828" uniqueCount="828">
  <si>
    <t>PREFIX</t>
  </si>
  <si>
    <t>dash</t>
  </si>
  <si>
    <t>http://datashapes.org/dash#</t>
  </si>
  <si>
    <t>med</t>
  </si>
  <si>
    <t>http://data.esante.gouv.fr/ansm/medicament/</t>
  </si>
  <si>
    <t>stclasses</t>
  </si>
  <si>
    <t>http://data.esante.gouv.fr/coe/standardterms/classes/</t>
  </si>
  <si>
    <t>cdt</t>
  </si>
  <si>
    <t>https://w3id.org/cdt/</t>
  </si>
  <si>
    <t>shacl-play</t>
  </si>
  <si>
    <t>https://shacl-play.sparna.fr/ontology#</t>
  </si>
  <si>
    <t>BASE</t>
  </si>
  <si>
    <t>https://smt.esante.gouv.fr/ruim/</t>
  </si>
  <si>
    <t xml:space="preserve">URI de l'ontologie</t>
  </si>
  <si>
    <t>http://data.esante.gouv.fr/ansm/medicament</t>
  </si>
  <si>
    <t>rdf:type</t>
  </si>
  <si>
    <t>owl:Ontology</t>
  </si>
  <si>
    <t>rdfs:label@fr</t>
  </si>
  <si>
    <t xml:space="preserve">Modèle de données du Référentiel Unique d'Interopérabilité du Médicament (RUIM)</t>
  </si>
  <si>
    <t>dcterms:title@fr</t>
  </si>
  <si>
    <t>dcterms:creator@fr</t>
  </si>
  <si>
    <t xml:space="preserve">Le modèle du référentiel a été élaboré par l’ANS, le LIMICS (INSERM 1142), le CHU de Rouen (D2IM) et la société SPARNA sur la base des modèles existants (BDPM et IDMP). </t>
  </si>
  <si>
    <t>dcterms:created^^xsd:date</t>
  </si>
  <si>
    <t>dcterms:modified^^xsd:date</t>
  </si>
  <si>
    <t>dcterms:publisher@fr</t>
  </si>
  <si>
    <t>ANS</t>
  </si>
  <si>
    <t>dcat:distribution</t>
  </si>
  <si>
    <t xml:space="preserve">[
  dct:format &lt;https://www.iana.org/assignments/media-types/text/turtle&gt;;
  dcat:downloadURL &lt;https://smt.esante.gouv.fr/ruim/RUIM-SHACL.zip&gt;;
]</t>
  </si>
  <si>
    <t>owl:versionInfo</t>
  </si>
  <si>
    <t>6.0</t>
  </si>
  <si>
    <t>foaf:depiction</t>
  </si>
  <si>
    <t>&lt;images/ruim-overview.png&gt;</t>
  </si>
  <si>
    <t>dcterms:description@fr(normalize-space="false")</t>
  </si>
  <si>
    <t xml:space="preserve">### Description générale
Ce diagramme fait apparaitre 3 “sous-référentiels” autonomes : 
1. Le référentiel des [Spécialités pharmaceutiques](#med:SpecialitePharmaceutique), avec leurs [Unités Communes de Dispensation (UCD)](#med:UniteCommuneDeDispensation) et leurs [Présentations](#med:Presentation). Les Présentations sont d’ailleurs les entités qui permettent de faire les liens “en étoile” avec les autres parties du référentiel. 
2. Le référentiel des produits pharmaceutiques, qui définit des catégories en fonction de “la composition quantitative et qualitative des médicaments dans la forme galénique approuvée pour l’administration”. Ces catégories sont désignées par l’acronyme “PhPID” (Pharmaceutical Product Identifier) ; elles sont définies à des niveaux de granularité différents :
      - [PhPID 1](#med:PPhParSubstance) : par la/les substance(s) active(s) seulement (composition qualitative) (“Paracétamol”). 
      - [PhPID 2](#med:PPhParSubstanceDosage) : par la/les substance(s) active(s) et son/leur dosages (composition qualitative et quantitative) (“Paracétamol 500 mg”) 
      - [PhPID 3](#med:PPhParSubstanceForme) : par la/les substance(s) active(s) et la forme (composition qualitative avec la forme galénique) (“Paracétamol comprimé” ou “Paracétamol suspension buvable”) 
      - [PhPID 4](#med:PPhParSubstanceDosageForme) : par la/les substance(s) active(s) et son/leur dosages et la forme galénique) (“Paracétamol 500 mg comprimé”, “Paracétamol 500 mg suspension buvable”). 
3. Le référentiel de [prescriptions en dénomination commune](#med:PrescriptionEnDC) (ou “prescriptions en DC”) qui spécifie des caractéristiques normalisées des prescriptions ("_Paracétamol 500 mg comprimé voie orale_", "_Paracétamol 500 mg poudre (pour suspension buvable) voie orale_").  
Ces 3 parties sont chacune définies de façon formelle sur des caractéristiques communes : 
  - Les [substances](#med:Substance) (substances actives ou fractions thérapeutiques)
  - Les [formes](#med:Forme) (formes manufacturées dans les libellés de prescription, formes administrables dans les produits pharmaceutiques)
  - Les [voies d’administration](#med:Voie)
  - Les [unités de présentation](#med:UniteDePresentation) (seulement pour les prescriptions en DC)
  - Les dosages, ceux-ci étant de 2 sortes :
    - Les [dosages concentration](#med:DosageConcentration) : concentration de la substance par unité de volume ou de poids et indépendamment d’une quantité totale (“5 mg/mL”) (voir tableau ci-dessous). 
    - Les [dosages présentation](#med:DosagePresentation) : quantité de substance totale, éventuellement par rapport à la quantité totale d’une présentation (“300 mg” (pour un comprimé) ou “25 mg / 5 mL”(pour un flacon de 5 ml)) 
L’utilisation combinée des dosages présentation et dosages concentration est fonction de la forme des médicaments (on aura parfois seulement un dosage de présentation - avec ou sans quantité totale de la présentation, parfois seulement un dosage de concentration, parfois les deux). On se reportera aux diagrammes de modélisation détaillée ci-dessous. 
Les 3 parties sont articulées les unes avec les autres : 
- Les [Présentations](#med:Presentation) sont classifiées dans les catégories des produits pharmaceutiques (PhPID) 
- Les [Présentations](#med:Presentation) peuvent être [prescrites par les libellés des prescriptions en DC](#med:Presentation_med:prescriptibleComme) 
- Les [prescriptions en DC](#med:PrescriptionEnDC) sont [classifiées dans les catégories de PhPID ](#med:PrescriptionEnDC_med:classementSubstanceDosageForme)
La description formelle de chacune des 3 parties sur les mêmes caractéristiques peut permettre d’automatiser ces liens d’articulation (regrouper automatiquement les Présentations dans les catégories des PhPID et les prescriptions en DC, regrouper automatiquement les prescriptions en DC sur les catégories des PhPIDs).
### Modélisation du triangle Spécialité / UCD / Présentation
Le schéma suivant donne le détail de l'articulation entre les trois entités [Spécialité](#med:SpecialitePharmaceutique), [UCD](#med:UniteCommuneDeDispensation) et [Présentation](#med:Presentation).
[![Triangle Spécialités/UCD/Présentation](https://smt.esante.gouv.fr/ruim/images/triangle_ucd_specialites_presentations.png){width=100%}](https://smt.esante.gouv.fr/ruim/images/triangle_ucd_specialites_presentations.png)
### Modélisation de la composition des articles manufacturés
La description de la composition et des dosages des articles manufacturés se décompose en 4 niveaux décrits ci-dessous.
#### La composition qualitative des spécialités et des éléments
Le premier niveau est l’identification des [substances actives](#med:SpecialitePharmaceutique_med:substanceActive) (effectivement présentes dans la boite), des éventuelles [fractions thérapeutiques](#med:SpecialitePharmaceutique_med:fractionTherapeutique), et des [substances qui portent le dosage](#med:SpecialitePharmaceutique_med:substancePortantLeDosage) dans une spécialité. La/les substances qui portent le dosage sont soit des substances actives, soit des fractions thérapeutiques. Les substances indiquées ne sont pas ordonnées.
Comme sur la spécialité, les éléments indiquent quelle(s) sont leur(s) [substance(s) active(s)](#med:Element_med:substanceActive), leur(s) éventuelle(s) [fraction(s) thérapeutique(s)](#med:Element_med:fractionTherapeutique), et quelles sont |la/les substance(s) qui porte(nt) leur dosage](#med:Element_med:substancePortantLeDosage).
La composition qualitative des spécialités et des élements est décrite dans le diagramme suivant :
[![Composition qualitative des spécialités et des éléments](https://smt.esante.gouv.fr/ruim/images/composition_qualitative.png){width=100%}](https://smt.esante.gouv.fr/ruim/images/composition_qualitative.png)
#### La composition quantitative non structurée des éléments
Chaque élément est associé à au moins une [expression de dosage](#med:ExpressionDeDosage) “brute” qui est l’expression de dosage d’une substance dans l’élément, telle que fournie par l’ANSM et donnée indépendamment du volume ou de la masse totale du contenant (qui est une information portée par la présentation).
#### La composition quantitative structurée des éléments de Spécialité et des éléments de Présentation
La Spécialité ne portant pas l'information de la quantité de conditionnement, qui est une information propre à chaque Présentation, les [éléments de Spécialité](#med:Element) portent une information de [dosage en concentration](#med:Element_med:dosageConcentration) uniquement. Les [éléments de Présentation](#med:ElementPresentation), quant à eux, portent l'information de [dosage présentation](#med:ElementPresentation_med:dosagePresentation) particulier pour cette présentation, qui peut varier en fonction par exemple du volume totale du flacon ou de l'ampoule de la Présentation.
#### La composition quantitative des Présentations elles-mêmes
Les[dosages présentation](#med:DosagePresentation) et [dosages concentration](#med:DosageConcentration) sont également exprimés au niveau des Présentations.
[![Composition quantitative structurée des éléments et des présentations](https://smt.esante.gouv.fr/ruim/images/dosages_structures.png){width=100%}](https://smt.esante.gouv.fr/ruim/images/dosages_structures.png)
### Modélisation des PhPIDs
Les produits pharmaceutiques sont définis, en fonction de leur niveau d’abstraction, par : 
  - Les substances qui portent le dosage dans le produit pharmaceutique ([PhPID1]((#med:PPhParSubstance))) 
  - Les substances qui portent le dosage dans le produit pharmaceutique + les dosages présentation et concentration de ce produit ([PhPID2](#med:PPhParSubstanceDosage)) 
  - Les substances qui portent le dosage dans le produit pharmaceutique + la forme administrable de ce produit pharmaceutique ([PhPID3](#med:PPhParSubstanceForme)) 
  - Les substances qui portent le dosage dans le produit pharmaceutique + les dosages présentation et concentration de ce produit + la forme administrable ([PhPID4](#med:PPhParSubstanceDosageForme)) 
Chaque niveau de finesse “précise” le niveau d’abstraction supérieur.
### Modélisation des autorisations
La modélisation des [autorisations](#med:Autorisation) sur les spécialités permet une double lecture : 
1. Une lecture statique et instantanée directement sur la spécialité, avec :
  - Un attribut booléen permettant de savoir si la spécialité est active ou non
  - Les dates d’activité (début et fin – le cas échéant) de la spécialité
  - Son statut courant (active, archivée, suspendue, etc.)
  - Son régime de procédure courant
2. Une lecture dynamique sous forme d’une série d’évènements réglementaires datés associés à la spécialité. Chaque évènement est caractérisé avec son type et sa date d’effet. Les [Autorisations](#med:Autorisation) sont les évènements principaux de cette série d’évènements réglementaires.
------
_Note : dans les tableaux ci-dessous, les attributs effectivement renseignés dans laversion actuelle du référentiel sont surlignés en vert._</t>
  </si>
  <si>
    <t>URI</t>
  </si>
  <si>
    <t>rdfs:comment@fr</t>
  </si>
  <si>
    <t>#</t>
  </si>
  <si>
    <t>rdf:type(separator=",")</t>
  </si>
  <si>
    <t xml:space="preserve">foaf:depiction(id="diag_1" separator=",")</t>
  </si>
  <si>
    <t>foaf:depiction(id="diag_2")</t>
  </si>
  <si>
    <t>sh:target(id="target")</t>
  </si>
  <si>
    <t>sh:select(subjectColumn="target")</t>
  </si>
  <si>
    <t>sh:closed^^xsd:boolean</t>
  </si>
  <si>
    <t>sh:node</t>
  </si>
  <si>
    <t>med:closedBySuperClasses^^xsd:boolean</t>
  </si>
  <si>
    <t>sh:ignoredProperties</t>
  </si>
  <si>
    <t>sh:nodeKind</t>
  </si>
  <si>
    <t xml:space="preserve">{motif d'URI local}</t>
  </si>
  <si>
    <t>sh:pattern^^xsd:string</t>
  </si>
  <si>
    <t>shacl-play:background-color</t>
  </si>
  <si>
    <t xml:space="preserve">Couche "UCD/Spécialités/Présentations"</t>
  </si>
  <si>
    <t>med:SpecialitePharmaceutique</t>
  </si>
  <si>
    <t xml:space="preserve">Spécialité pharmaceutique</t>
  </si>
  <si>
    <t xml:space="preserve">Une spécialité pharmaceutique est identifiée par son [code CIS](#med:SpecialitePharmaceutique_med:CIS) (code identifiant de spécialité). Elle porte des informations descriptives, comme son code ATC ou ses dates de validité. La classification ATC d’une Spécialité est indiquée dans 3 attributs : 
  - L'attribut [`classificationATC`](#med:SpecialitePharmaceutique_med:classificationATC) donne une référence à l’entrée actuelle de la classification ATC sur laquelle est classée cette Spécialité; 
  - L’attribut [`codeATC`](#med:SpecialitePharmaceutique_med:codeATC) donne le code de l’entrée ATC actuelle; c’est un complément à la référence à l’entrée de la classification ATC, permettant de voir le code, qui est porteur d’informations; 
  - L’attribut [`libelleATC`](#med:SpecialitePharmaceutique_med:libelleATC) donne le libellé de la classification ATC sur laquelle est classée cette Spécialité, tel que fourni dans les données sources. En fonction des évolutions de la classification ATC, ce libellé peut ne pas être identique au libellé de classification ATC sur laquelle est classée cette Spécialité. 
Chaque spécialité est catégorisée selon 2 axes : son [niveau de virtualisation](#med:SpecialitePharmaceutique_med:niveauDeVirtualisation) (virtualisable, non-virtualisable, virtualisable partiellement en PhPID 1), et sa [prescriptibilité en dénomination commune](#med:SpecialitePharmaceutique_med:prescriptibiliteEnDC) : prescriptible, non-prescriptible et prescriptible avec nom de marque. Le cas échéant la [cause de la non-virtualisation](#med:SpecialitePharmaceutique_med:causeNonVirtualisation) et la [cause de l’exception à la prescription en DC](#med:SpecialitePharmaceutique_med:causeExceptionPrescriptionDC) sont indiquées. 
La [forme manufacturée de la Spécialité](#med:SpecialitePharmaceutique_med:formeManufacturee) est indiquée. Cette forme peut être plus générique que la forme indiquée au niveau de chaque présentation de la spécialité, par exemple "solution" sur la spécialité, et "solution en ampoule" ou "solution en flacon" sur des présentations. A de rares exceptions, une seule forme manufacturée est indiquée. 
La [voie d’administration de la Spécialité](#med:SpecialitePharmaceutique_med:voie) est également indiquée.
Une spécialité est liée aux [UCD](#med:UniteCommuneDeDispensation) qui dispensent cette spécialité et aux [présentations](#med:Presentation) qui contiennent cette spécialité. Elle se [décompose](#med:SpecialitePharmaceutique_med:seComposeDe) également en [Eléments](med:Element) contenus dans la spécialité (par exemple une poudre et un solvant).
Une spécialité porte également l’[historique de tous ses noms](#med:SpecialitePharmaceutique_med:libelle). 
Le [titulaire courant de la spécialité](#med:SpecialitePharmaceutique_med:titulaireCourant) est indiqué. Ce titulaire peut évoluer dans le temps, mais seul le titulaire courant est indiqué. 
D’autres caractéristiques de la spécialité liées à son AMM et à son statut courant sont décrites dans la partie “[Autorisations](#med:Autorisation)”. Se reporter également à la section sur les dosages pour la description qualitative et quantitative de la spécialité.</t>
  </si>
  <si>
    <t xml:space="preserve">sh:NodeShape, rdfs:Class</t>
  </si>
  <si>
    <t xml:space="preserve">&lt;images/specialites.png&gt;, &lt;images/composition_qualitative.png&gt;</t>
  </si>
  <si>
    <t>med:Diagramme_SpecialitesPresentationsUCD</t>
  </si>
  <si>
    <t xml:space="preserve">(rdf:type rdfs:subClassOf owl:equivalentClass)</t>
  </si>
  <si>
    <t>sh:IRI</t>
  </si>
  <si>
    <t>SpecialitePharmaceutique_.*</t>
  </si>
  <si>
    <t>C45911</t>
  </si>
  <si>
    <t>med:Presentation</t>
  </si>
  <si>
    <t>Présentation</t>
  </si>
  <si>
    <t xml:space="preserve">Une présentation est identifiée par son code [CIP13](#med:Presentation_med:CIP13). Elle est [liée à la spécialité](#med:Presentation_med:presente) présentée et à l’UCD [contenue dans la présentation](#med:Presentation_med:contientUniteDeDispensation). Conceptuellement, la présentation “[hérite](#med:Presentation_rdfs:subClassOf)” de toutes les caractéristiques de la spécialité dispensée (substances, type de conditionnement, forme manufacturée). La présentation peut être [prescriptible](#med:Presentation_med:prescriptibleComme) dans une ou plusieurs définitions de prescriptions en dénomination commune, si la spécialité dispensée est prescriptible en DC. 
Une présentation porte également l’[historique](#med:Presentation_med:libelle) de tous ses noms. 
La [forme manufacturée](#med:Presentation_med:formeManufacturee) ainsi que les [voies d’administration possibles](#med:Presentation_med:voie) sont indiquées sur les présentations. La forme peut être plus spécifique que la forme indiquée au niveau de la spécialité, par exemple _"solution"_ sur la spécialité, et _"solution en ampoule"_ ou _"solution en flacon"_ sur des présentations.</t>
  </si>
  <si>
    <t>&lt;images/presentations.png&gt;</t>
  </si>
  <si>
    <t>Presentation_.*</t>
  </si>
  <si>
    <t>7030A0</t>
  </si>
  <si>
    <t>med:UniteCommuneDeDispensation</t>
  </si>
  <si>
    <t xml:space="preserve">Unité commune de dispensation</t>
  </si>
  <si>
    <t xml:space="preserve">Une Unité Commune de dispensation est identifiée par son code [UCD13](#med:UniteCommuneDeDispensation_med:codeUCD13). Elle est liée d’une part [à sa spécialité pharmaceutique](#med:UniteCommuneDeDispensation_med:uniteDeDispensationDe) (une et une seule) et d’autre part [aux présentations](#med:UniteCommuneDeDispensation_med:presenteDans) dans lesquelles elle se retrouve (une UCD peut se retrouver dans plusieurs présentations). L’UCD porte l’[historique](#med:UniteCommuneDeDispensation_med:libelle) de tous ses noms.</t>
  </si>
  <si>
    <t>&lt;images/ucd.png&gt;</t>
  </si>
  <si>
    <t>UCD_.*</t>
  </si>
  <si>
    <t>D52FCD</t>
  </si>
  <si>
    <t>med:GroupeGenerique</t>
  </si>
  <si>
    <t xml:space="preserve">Groupe générique</t>
  </si>
  <si>
    <t xml:space="preserve">Les groupes génériques regroupent les spécialités par des liens de différentes natures. Chaque groupe générique indique en général une [spécialité de référence](#med:GroupeGenerique_med:specialiteDeReference) (mais pas toujours, certains groupes n’ont aucune spécialité de référence), et donne les spécialités génériques [équivalentes](#med:GroupeGenerique_med:specialiteGenerique) et les autres spécialités [substituables](#med:GroupeGenerique_med:specialiteSubstituable).</t>
  </si>
  <si>
    <t>&lt;images/groupes_generiques.png&gt;</t>
  </si>
  <si>
    <t>GroupeGenerique_.*</t>
  </si>
  <si>
    <t>med:Element</t>
  </si>
  <si>
    <t>Elément</t>
  </si>
  <si>
    <t xml:space="preserve">Une [spécialité](#med:SpecialitePharmaceutique) se compose d’un ou plusieurs éléments (exemple _"comprimé bleu"_, _"gélule rouge"_, _compartiment d’une poche_). L'élément est la partie manufacturée d'une spécialité pharmaceutique, à laquelle est associée une composition qualitative et quantitative.  
Les éléments sont identifiés par leur [numéro d’ordre séquentiel](#med:Element_med:identifiantElement) dans la spécialité. Ils sont associés à leur forme manufacturée (donnée sous [forme littérale](#med:Element_med:formeManufactureeLitterale) et sous forme de [référence à une liste contrôlée de formes](#med:Element_med:formeManufacturee)) </t>
  </si>
  <si>
    <t xml:space="preserve">&lt;images/elements.png&gt;, &lt;images/composition_qualitative.png&gt;</t>
  </si>
  <si>
    <t>med:Diagramme_ElementDosages</t>
  </si>
  <si>
    <t>Element_.*</t>
  </si>
  <si>
    <t>2F5696</t>
  </si>
  <si>
    <t>med:ElementPresentation</t>
  </si>
  <si>
    <t xml:space="preserve">Elément Présentation</t>
  </si>
  <si>
    <t xml:space="preserve">De la même façon qu'une [Spécialité](#med:SpecialitePharmaceutique) se décompose en [éléments de Spécialité](#med:Element), une [Présentation](#med:Presentation) se décompose en éléments de Présentation. L'élément de Présentation représente les caractéristiques d'un élément de Spécialité donné *dans cette présentation donnée*. Le [type de contenant](#med:ElementPresentation_med:typeContenant) peut par exemple varier d'une présentation à l'autre, pour le même élément de Spécialité (solution buvable, tantôt en flacon, tantôt en ampoule). 
Les éléments de présentation peuvent être classés dans des catégories de produits pharmaceutiques, soit : 
- Sur un [PhPID4](#med:ElementPresentation_med:classementSubstanceDosageForme) si la spécialité dispensée est virtualisable. 
- Sur un [PhPID1](#med:ElementPresentation_med:classementSubstance) si la spécialité est non-virtualisable.</t>
  </si>
  <si>
    <t>&lt;images/elements_presentation.png&gt;</t>
  </si>
  <si>
    <t>ElementPresentation_.*</t>
  </si>
  <si>
    <t>Dosages</t>
  </si>
  <si>
    <t>med:DosageConcentration</t>
  </si>
  <si>
    <t xml:space="preserve">Dosage en concentration</t>
  </si>
  <si>
    <t xml:space="preserve">Les dosages en concentration donnent la [concentration](#med:DosageConcentration_med:quantiteSubstance) de [substance](#med:DosageConcentration_med:substance), exprimée dans une certaine [unité](#med:DosageConcentration_med:unite) de concentration (comme _“mg/mL”_, _“mg/g”_, etc.), ou éventuellement une plage de concentration ([inférieure](#med:DosageConcentration_med:quantiteSubstanceInf) / [supérieure](#med:DosageConcentration_med:quantiteSubstanceSup)). </t>
  </si>
  <si>
    <t>&lt;images/dosages_concentration.png&gt;</t>
  </si>
  <si>
    <t>Dosage_.*</t>
  </si>
  <si>
    <t>med:DosagePresentation</t>
  </si>
  <si>
    <t xml:space="preserve">Dosage de présentation</t>
  </si>
  <si>
    <t xml:space="preserve">Les dosages en présentation donnent une [quantité]((#med:DosagePresentation_med:quantiteSubstance)) de [substance](#med:DosagePresentation_med:substance) contenue dans un [élément de présentation](#med:ElementPresentation), exprimée dans une certaine [unité](#med:DosagePresentation_med:unite) (“mg”, “mL”, “g”, etc.) ou éventuellement une plage de quantité ([inférieure](#med:DosagePresentation_med:quantiteSubstanceInf) / [supérieure](#med:DosagePresentation_med:quantiteSubstanceSup)). La quantité peut être exprimée par rapport : 
- à rien (_“10 mg”_)  
- à la [quantité totale dans la présentation](#med:DosagePresentation_med:quantitePresentation) (_“10 mg dans 100 mL”_) 
- à une [unité de présentation](#med:DosagePresentation_med:uniteDePresentation) (_“10 mg dans une seringue”_) </t>
  </si>
  <si>
    <t>&lt;images/dosages_presentation.png&gt;</t>
  </si>
  <si>
    <t>med:Unite</t>
  </si>
  <si>
    <t>Unité</t>
  </si>
  <si>
    <t xml:space="preserve">Unité de mesure d'un dosage.</t>
  </si>
  <si>
    <t>Unite_.*</t>
  </si>
  <si>
    <t>med:ExpressionDeDosage</t>
  </si>
  <si>
    <t xml:space="preserve">Expression de dosage</t>
  </si>
  <si>
    <t xml:space="preserve">Une expression de dosage est la façon dont les données de dosage sont fournie dans les données source par l'ANSM, avant une structuration plus avancée. Cette expression de dosage va indiquer :
  - La [substance dont on donne le dosage](#med:ExpressionDeDosage_med:substance) (qui est donc une substance qui sera liée au niveau de la spécialité et de l’élément comme [substance portant le dosage](#med:SpecialitePharmaceutique_med:substancePortantLeDosage)).
  - Si la substance dont on indique le dosage est une fraction thérapeutique, on indique la [substance active](#med:ExpressionDeDosage_med:substanceActive) sous forme de laquelle cette substance est présente dans la spécialité (qui est donc une substance qui sera liée au niveau de la spécialité et de l’élément comme [substance active](#med:SpecialitePharmaceutique_med:substanceActive)).
  - Si la substance dont on indique le dosage est une substance active, on indique la/les éventuelles [fractions thérapeutiques](#med:ExpressionDeDosage_med:fractionTherapeutique) de cette substance (qui seront donc des substances qui seront liées au niveau de la spécialité et de l’élément comme [fractions thérapeutiques](#med:SpecialitePharmaceutique_med:fractionTherapeutique))
  - L'[expression de la quantité de substance](#med:ExpressionDeDosage_med:expressionQuantite) (_“8 mg”_), et la [référence](#med:ExpressionDeDosage_med:referenceDosage) pour laquelle la quantité de substance est donnée (_“pour 100 ml de solution buvable”_, _“pour une gélule”_). Ces deux informations sont données en variante “brute” (non normalisée), et en variante normalisée, c’est-à-dire nettoyée ; typiquement l’expression de la quantité de substance répète la référence dosage, et quand c’est le cas, la référence dosage est supprimée de l’expression de la quantité (_“6 g pour 100 ml de solution buvable”_ devient _“6 g”_).</t>
  </si>
  <si>
    <t>&lt;images/expressions_de_dosage.png&gt;</t>
  </si>
  <si>
    <t>ExpressionDeDosage_.*</t>
  </si>
  <si>
    <t>Organisations</t>
  </si>
  <si>
    <t>med:Organisation</t>
  </si>
  <si>
    <t>Organisation</t>
  </si>
  <si>
    <t xml:space="preserve">Une organisation, typiquement un laboratoire pharmaceutique.</t>
  </si>
  <si>
    <t>Organisation_.*</t>
  </si>
  <si>
    <t>00B050</t>
  </si>
  <si>
    <t xml:space="preserve">Listes contrôlées</t>
  </si>
  <si>
    <t>med:Substance</t>
  </si>
  <si>
    <t>Substance</t>
  </si>
  <si>
    <t xml:space="preserve">Les substances sont identifiées par un [identifiant interne ANSM](#med:Substance_dct:identifier). Elles peuvent être associées à un [code SMS](#med:Substance_med:codeSMS) quand un équivalent existe. Au moins un [libellé](#med:Substance_rdfs:label) en français est donné à la substance, avec potentiellement plusieurs [synonymes](#med:Substance_skos:altLabel:).</t>
  </si>
  <si>
    <t>Substance_.*</t>
  </si>
  <si>
    <t>med:Voie</t>
  </si>
  <si>
    <t xml:space="preserve">Voie (d'administration)</t>
  </si>
  <si>
    <t>Voie_.*</t>
  </si>
  <si>
    <t>med:Forme</t>
  </si>
  <si>
    <t>Forme</t>
  </si>
  <si>
    <t xml:space="preserve">La forme pharmaceutique (également appelée "forme médicamenteuse" ou "forme galénique") correspond à la forme sous laquelle le médicament se présente (comprimé, gélule, sirop, collyre, crème, solution injectable, etc.). Elle est spécialement conçue pour la [voie d'administration](#med:Voie) à laquelle le médicament est destiné.</t>
  </si>
  <si>
    <t>Forme_.*</t>
  </si>
  <si>
    <t>med:UniteDePresentation</t>
  </si>
  <si>
    <t xml:space="preserve">Unité de présentation</t>
  </si>
  <si>
    <t>UniteDePresentation_.*</t>
  </si>
  <si>
    <t>med:TypeContenant</t>
  </si>
  <si>
    <t xml:space="preserve">Type de contenant</t>
  </si>
  <si>
    <t xml:space="preserve">Liste contrôlée des types de contenant, utilisée pour coder le [conditionnement primaire](#med:ElementPresentation_med:typeContenant) des éléments de présentation.</t>
  </si>
  <si>
    <t>Conditionnement_.*</t>
  </si>
  <si>
    <t>med:JustificationNiveauVirtualisation</t>
  </si>
  <si>
    <t xml:space="preserve">Justification du niveau de virtualisation</t>
  </si>
  <si>
    <t xml:space="preserve">Liste contrôlée des justification du niveau de virtualisation d'une spécialité ("pas de principe actif", etc.), utilisée par la propriété de [justification du niveau de virtualisation](#med:SpecialitePharmaceutique_med:justificationNiveauDeVirtualisation)</t>
  </si>
  <si>
    <t>JustificationNiveauVirtualisation_.*</t>
  </si>
  <si>
    <t>med:JustificationNiveauPrescriptibilite</t>
  </si>
  <si>
    <t xml:space="preserve">Justification du niveau de prescriptibilité</t>
  </si>
  <si>
    <t xml:space="preserve">Liste contrôlée des justifications du niveau de prescriptiilité en dénomination commune ("plus de trois substances", "gaz médicinal", etc.), utilisée par la propriété de [justification du niveau de prescriptibilité des spécialités](#med:SpecialitePharmaceutique_med:justificationPrescriptibiliteEnDC)</t>
  </si>
  <si>
    <t>JustificationNiveauPrescriptibilite_.*</t>
  </si>
  <si>
    <t>med:NiveauVirtualisation</t>
  </si>
  <si>
    <t xml:space="preserve">Niveau de Virtualisation</t>
  </si>
  <si>
    <t xml:space="preserve">Liste des différentes modalités selon lesquelles une spécialité peut se virtualiser : non virtualisable, virtualisable partiellement (en PhPID 1 seulement), virtualisable complètement (en PhPID 4). Cette liste est utilisée par coder le [niveau de virtualisation](#med:SpecialitePharmaceutique_med:niveauDeVirtualisation) des spécialités.</t>
  </si>
  <si>
    <t>NiveauVirtualisation_.*</t>
  </si>
  <si>
    <t>med:NiveauPrescriptibilite</t>
  </si>
  <si>
    <t xml:space="preserve">Niveau de Prescriptibilité</t>
  </si>
  <si>
    <t xml:space="preserve">Liste des catégories de spécialités selon la possibilité de les prescrire en dénomination commune : non prescriptible, prescriptible avec nom de marque, prescriptible. Cette liste est utilisée par coder la [prescriptibilité en DC](#med:SpecialitePharmaceutique_med:prescriptibiliteEnDC) des spécialités.</t>
  </si>
  <si>
    <t>NiveauPrescriptibilite_.*</t>
  </si>
  <si>
    <t>med:TypeDose</t>
  </si>
  <si>
    <t xml:space="preserve">Type de dose</t>
  </si>
  <si>
    <t xml:space="preserve">Liste des types de doses possibles : unidose, multidose.</t>
  </si>
  <si>
    <t>TypeDose_.*</t>
  </si>
  <si>
    <t>med:Gamme</t>
  </si>
  <si>
    <t>Gamme</t>
  </si>
  <si>
    <t xml:space="preserve">Gamme commerciale</t>
  </si>
  <si>
    <t>Gamme_.*</t>
  </si>
  <si>
    <t xml:space="preserve">Couche "Prescription en DC"</t>
  </si>
  <si>
    <t>med:PrescriptionEnDC</t>
  </si>
  <si>
    <t xml:space="preserve">Prescription en dénomination commune</t>
  </si>
  <si>
    <t xml:space="preserve">Les prescriptions en DC sont définies par leurs caractéristiques formelles, comme les produits pharmaceutiques : 
- [Substances qui portent le dosage](#med:PrescriptionEnDC_med:substancePortantLeDosage) dans cette prescription. 
- Dosages [présentation](#med:PrescriptionEnDC_med:dosagePresentation) et [concentration](#med:PrescriptionEnDC_med:dosageConcentration) dans cette prescription. 
- Forme [manufacturée](#med:PrescriptionEnDC_med:formeManufacturee). 
- [Voie d’administration](#med:PrescriptionEnDC_med:voie). 
- [Unité de présentation](#med:PrescriptionEnDC_med:uniteDePresentation). 
Les prescriptions en DC sont par ailleurs liées à/aux médicaments virtuels Medicabase dont elles sont dérivées, et au [PhPID4 correspondant](#med:PrescriptionEnDC_med:classementSubstanceDosageForme) à cette prescription en DC. </t>
  </si>
  <si>
    <t>&lt;images/prescriptions_dc.png&gt;</t>
  </si>
  <si>
    <t>med:Diagramme_PrescriptionEnDC</t>
  </si>
  <si>
    <t>PrescriptionEnDC_.*</t>
  </si>
  <si>
    <t>F94107</t>
  </si>
  <si>
    <t xml:space="preserve">Couche PhpID</t>
  </si>
  <si>
    <t>med:PPhParSubstance</t>
  </si>
  <si>
    <t xml:space="preserve">PhPID1 : Produit pharmaceutique par substance</t>
  </si>
  <si>
    <t xml:space="preserve">Produit pharmaceutique de niveau 1 (PhPID1) défini par les [substances qui portent le dosage](#med:PPhParSubstance_med:substancePortantLeDosage).</t>
  </si>
  <si>
    <t>&lt;images/phpid123.png&gt;</t>
  </si>
  <si>
    <t>med:Diagramme_PhPIDs</t>
  </si>
  <si>
    <t>PPhParSubstance_.*</t>
  </si>
  <si>
    <t>4472C4</t>
  </si>
  <si>
    <t>med:PPhParSubstanceDosage</t>
  </si>
  <si>
    <t xml:space="preserve">PhPID2 : Produit pharmaceutique par substance et dosage</t>
  </si>
  <si>
    <t xml:space="preserve">Produit pharmaceutique de niveau 2 (PhPID2)  défini par les [substances qui portent le dosage](#med:PPhParSubstanceDosage_med:substancePortantLeDosage) + les dosages [présentation](#med:PPhParSubstanceDosage_med:dosagePresentation) et [concentration](#med:PPhParSubstanceDosage_med:dosageConcentration) de ce produit. Le PhPID2 [précise](#med:PPhParSubstanceDosage_med:precisePPhParSubstance) un PhPID1.</t>
  </si>
  <si>
    <t>PPhParSubstanceDosage_.*</t>
  </si>
  <si>
    <t>med:PPhParSubstanceForme</t>
  </si>
  <si>
    <t xml:space="preserve">PhPID3 : Produit pharmaceutique par substance et forme</t>
  </si>
  <si>
    <t xml:space="preserve">Produit pharmaceutique de niveau 3 (PhPID3)  défini par les [substances qui portent le dosage](#med:PPhParSubstanceForme_med:substancePortantLeDosage) + la [forme administrable](#med:PPhParSubstanceDosageForme_med:formeAdministrable) du produit. Le PhPID3 [précise](#med:PPhParSubstanceDosage_med:precisePPhParSubstance) un PhPID1.</t>
  </si>
  <si>
    <t>PPhParSubstanceForme_.*</t>
  </si>
  <si>
    <t>med:PPhParSubstanceDosageForme</t>
  </si>
  <si>
    <t xml:space="preserve">PhPID4 : Produit pharmaceutique par substance, dosage et forme</t>
  </si>
  <si>
    <t xml:space="preserve">Produit pharmaceutique de niveau 4 (PhPID4)  défini par les [substances qui portent le dosage](#med:PPhParSubstanceDosageForme_med:substancePortantLeDosage) + les dosages [présentation](#med:PPhParSubstanceDosageForme_med:dosagePresentation) et [concentration](#med:PPhParSubstanceDosageForme_med:dosageConcentration) de ce produit + la [forme administrable](#med:PPhParSubstanceDosageForme_med:formeAdministrable) de ce produit. Les PhPID4 [précisent](#med:PPhParSubstanceDosageForme_med:precisePPhParSubstanceDosage) un PhPID2 et un PHPID3.</t>
  </si>
  <si>
    <t>&lt;images/phpid4.png&gt;</t>
  </si>
  <si>
    <t>PPhParSubstanceDosageForme_.*</t>
  </si>
  <si>
    <t xml:space="preserve">Evenements et Autorisations</t>
  </si>
  <si>
    <t>med:Evenement</t>
  </si>
  <si>
    <t>Evènement</t>
  </si>
  <si>
    <t xml:space="preserve">Un événement réglementaire [concerne](#med:Evenement_med:concerne) une [Spécialité](#med:Specialite) ou une [Présentation](#med:Presentation) et est caractérisé par son [type d'événement](#med:Evenement_med:typeEvenement) et sa [date d'effet](#med:Evenement_med:dateEffet).</t>
  </si>
  <si>
    <t>Evenement_.*</t>
  </si>
  <si>
    <t>FFD564</t>
  </si>
  <si>
    <t>med:Autorisation</t>
  </si>
  <si>
    <t>Autorisation</t>
  </si>
  <si>
    <t xml:space="preserve">Les Autorisations sont les [évènements](#med:Evenement) principaux de la série d’évènements réglementaires d'une spécialité ; elles sont délivrées suite à une [procédure](#med:Autorisation_med:typeProcedure) d’un certain type. Le [régime de procédure courant d’une Spécialité](#med:SpecialitePharmaceutique_med:typeProcedureCourante) peut être différent du type de procédure de son autorisation d’origine, dans le cas où un évènement de changement de type de procédure est intervenu. </t>
  </si>
  <si>
    <t>&lt;images/autorisations.png&gt;</t>
  </si>
  <si>
    <t>VRAI</t>
  </si>
  <si>
    <t>Autorisation_.*</t>
  </si>
  <si>
    <t>med:AccesDerogatoire</t>
  </si>
  <si>
    <t xml:space="preserve">Accès dérogatoire</t>
  </si>
  <si>
    <t xml:space="preserve">Les événements d'accès dérogatoires sont des [événements](#med:Evenement) qui représentent l’affectation d’une indication codée à la spécialité, pour les accès compassionels (AAC), précoces (AAP), ou les cadres de prescription compassionnelle (CPC). </t>
  </si>
  <si>
    <t>AccesDerogatoire_.*</t>
  </si>
  <si>
    <t>med:ChangementDeStatut</t>
  </si>
  <si>
    <t xml:space="preserve">Changement de statut</t>
  </si>
  <si>
    <t xml:space="preserve">Les changements de statut sont des [événénements](#med:Evenement) qui concernent les suspensions, abrogations, etc. faisant varier le statut de la spécialité.</t>
  </si>
  <si>
    <t>ChangementDeStatut_.*</t>
  </si>
  <si>
    <t xml:space="preserve">Listes contrôlées Autorisations</t>
  </si>
  <si>
    <t>med:TypeProcedure</t>
  </si>
  <si>
    <t xml:space="preserve">Type de procédure</t>
  </si>
  <si>
    <t xml:space="preserve">Liste de toutes les catégories de procédures que peut décrire le référentiel du médicament sur les spécialités pharmaceutiques. Cette liste est utilisée pour code le [type de procédure courante](#med:SpecialitePharmaceutique_med:typeProcedureCourante) d'une spécialité.</t>
  </si>
  <si>
    <t>TypeProcedure_.*</t>
  </si>
  <si>
    <t>med:StatutSpecialite</t>
  </si>
  <si>
    <t xml:space="preserve">Statut de Spécialité</t>
  </si>
  <si>
    <t xml:space="preserve">Le statut est l'état de l'autorisation de la spécialité pharmaceutique : actif, archivé, suspendu, retiré... Cette liste est utilisée pour coder le [statut courant d'une spécialité](#med:SpecialitePharmaceutique_med:statutCourant).</t>
  </si>
  <si>
    <t>StatutSpecialite_.*</t>
  </si>
  <si>
    <t>med:TypeEvenement</t>
  </si>
  <si>
    <t xml:space="preserve">Type d'évènement</t>
  </si>
  <si>
    <t xml:space="preserve">Liste de toutes les catégories d'[événements](#med:Evenement) que peut décrire le référentiel du médicament, aussi bien sur les spécialités que sur les présentations.</t>
  </si>
  <si>
    <t>TypeEvenement_.*</t>
  </si>
  <si>
    <t>Libellé</t>
  </si>
  <si>
    <t>med:BlankNode_LabelWithDates</t>
  </si>
  <si>
    <t xml:space="preserve">Libellé historique</t>
  </si>
  <si>
    <t xml:space="preserve">Cette entité capture un libellé associé à une date de début et une date de fin d'utilisation de ce libellé.</t>
  </si>
  <si>
    <t>sh:BlankNode</t>
  </si>
  <si>
    <t xml:space="preserve">URI de la propriété</t>
  </si>
  <si>
    <t xml:space="preserve">Shape décrite</t>
  </si>
  <si>
    <t xml:space="preserve">Libellé de la propriété</t>
  </si>
  <si>
    <t xml:space="preserve">Description de la propriété</t>
  </si>
  <si>
    <t xml:space="preserve">Cardinalité mini de la propriété</t>
  </si>
  <si>
    <t xml:space="preserve">Cardinalité maximum de la propriété</t>
  </si>
  <si>
    <t xml:space="preserve">Structure de la valeur : littéral ou IRI ou BlankNode</t>
  </si>
  <si>
    <t xml:space="preserve">Valeur attendue, soit un datatype soit une référence à une autre classe du modèle</t>
  </si>
  <si>
    <t xml:space="preserve">Datatype, dans le cas des propriétés littérale</t>
  </si>
  <si>
    <t xml:space="preserve">La classe dont la valeur doit être une sous-classe de</t>
  </si>
  <si>
    <t xml:space="preserve">La Shape qui doit contraindre la valeur, lorsque la valeur n'a pas de classe, quand c'est un blank node</t>
  </si>
  <si>
    <t xml:space="preserve">flag de libellé principal</t>
  </si>
  <si>
    <t xml:space="preserve">Liste de valeurs autorisées</t>
  </si>
  <si>
    <t xml:space="preserve">Langues autorisées pour la valeur</t>
  </si>
  <si>
    <t xml:space="preserve">Identifiant technique de la propriété</t>
  </si>
  <si>
    <t xml:space="preserve">Implémenté ? oui/non</t>
  </si>
  <si>
    <t xml:space="preserve">Nom de la propriété</t>
  </si>
  <si>
    <t xml:space="preserve">Cardinalité maxi de la propriété</t>
  </si>
  <si>
    <t xml:space="preserve">Valeur attendue</t>
  </si>
  <si>
    <t xml:space="preserve">Niveau de criticité</t>
  </si>
  <si>
    <t>sh:path</t>
  </si>
  <si>
    <t>^sh:property</t>
  </si>
  <si>
    <t>sh:name</t>
  </si>
  <si>
    <t>sh:description</t>
  </si>
  <si>
    <t>rdfs:comment</t>
  </si>
  <si>
    <t>sh:minCount^^xsd:integer</t>
  </si>
  <si>
    <t>sh:maxCount^^xsd:integer</t>
  </si>
  <si>
    <t xml:space="preserve">valeur attendue</t>
  </si>
  <si>
    <t>sh:severity</t>
  </si>
  <si>
    <t>sh:datatype</t>
  </si>
  <si>
    <t>med:sousClasseDe</t>
  </si>
  <si>
    <t>dash:propertyRole</t>
  </si>
  <si>
    <t>sh:in</t>
  </si>
  <si>
    <t>sh:languageIn</t>
  </si>
  <si>
    <t>sh:or</t>
  </si>
  <si>
    <t>PPhParSubstance</t>
  </si>
  <si>
    <t>skos:notation</t>
  </si>
  <si>
    <t>identifiant</t>
  </si>
  <si>
    <t xml:space="preserve">Identifiant du PhPID1</t>
  </si>
  <si>
    <t>xsd:string</t>
  </si>
  <si>
    <t>rdfs:label</t>
  </si>
  <si>
    <t>libellé</t>
  </si>
  <si>
    <t xml:space="preserve">Libellé du PhPID1.
Nom de la substance ou concaténation des noms des substances, séparés par un '+', par ordre alphabétique</t>
  </si>
  <si>
    <t>sh:Literal</t>
  </si>
  <si>
    <t>rdf:langString</t>
  </si>
  <si>
    <t>dash:LabelRole</t>
  </si>
  <si>
    <t>("fr")</t>
  </si>
  <si>
    <t>med:substancePortantLeDosage</t>
  </si>
  <si>
    <t xml:space="preserve">substance qui porte le dosage</t>
  </si>
  <si>
    <t xml:space="preserve">Substance définissant ce PhPID.
La substance est soit une substance dans un référentiel EMA, soit une substance technique.
Le PhPID regroupe les médicaments contenant la ou les substances indiquées, et seulement ces substances.
Il n'y a pas de restriction sur le nombre maximum de substances indiquées.</t>
  </si>
  <si>
    <t>PPhParSubstanceDosage</t>
  </si>
  <si>
    <t xml:space="preserve">Identifiant du PhPID2</t>
  </si>
  <si>
    <t xml:space="preserve">Libellé du PhPID2.
Nom de la substance ou concaténation des noms des substances, séparés par un '+', par ordre alphabétique, suivi de l'expression normalisée du dosage.</t>
  </si>
  <si>
    <t xml:space="preserve">Substance définissant ce PhPID.
La substance est soit une substance dans un référentiel EMA, soit une substance technique.
Le PhPID regroupe les médicaments contenant les substances indiquées, et seulement ces substances.
Il n'y a pas de restriction sur le nombre maximum de substances indiquées.</t>
  </si>
  <si>
    <t>med:dosagePresentation</t>
  </si>
  <si>
    <t xml:space="preserve">dosage présentation</t>
  </si>
  <si>
    <t xml:space="preserve">Dosage de présentation définissant ce PhPID.
En fonction des patrons de dosage, les dosages présentation et concentration peuvent être présents ou absents. Au moins un dosage (présentation ou concentration) doit être indiqué.</t>
  </si>
  <si>
    <t>med:dosageConcentration</t>
  </si>
  <si>
    <t xml:space="preserve">dosage concentration</t>
  </si>
  <si>
    <t xml:space="preserve">Dosage de concentration définissant ce PhPID.
En fonction des patrons de dosage, les dosages présentation et concentration peuvent être présents ou absents. Au moins un dosage (présentation ou concentration) doit être indiqué.</t>
  </si>
  <si>
    <t>med:precisePPhParSubstance</t>
  </si>
  <si>
    <t xml:space="preserve">précise produit pharmaceutique par substance</t>
  </si>
  <si>
    <t xml:space="preserve">Lien vers le PhPID1 que ce PHPID2 précise.</t>
  </si>
  <si>
    <t>PPhParSubstanceForme</t>
  </si>
  <si>
    <t xml:space="preserve">Identifiant du PhPID3</t>
  </si>
  <si>
    <t xml:space="preserve">Libellé du PhPID3.
Nom de la substance ou concaténation des noms des substances, séparés par un '+', par ordre alphabétique, suivi du libellé de la forme pharmaceutique administrable normalisée.</t>
  </si>
  <si>
    <t>med:formeAdministrable</t>
  </si>
  <si>
    <t xml:space="preserve">forme administrable</t>
  </si>
  <si>
    <t xml:space="preserve">Forme pharmaceutique administrable définissant ce PhPID.
Il s'agit d'une forme pharmaceutique administrable, et non pas d'une forme manufacturée.</t>
  </si>
  <si>
    <t xml:space="preserve">Lien vers le PhPID1 que ce PHPID3 précise.</t>
  </si>
  <si>
    <t>PPhParSubstanceDosageForme</t>
  </si>
  <si>
    <t xml:space="preserve">Identifiant du PhPID4</t>
  </si>
  <si>
    <t xml:space="preserve">Libellé du PhPID4.
Nom de la substance ou concaténation des noms des substances, séparés par un '+', par ordre alphabétique, suivi de l'expression de dosage, suivi du libellé de la forme pharmaceutique administrable normalisée.</t>
  </si>
  <si>
    <t xml:space="preserve">Forme pharmaceutique administrable définissant ce PhPID.
Il s'agit d'une forme pharmaceutique administrable normalisée, et non pas d'une forme pharmaceutique manufacturée.</t>
  </si>
  <si>
    <t>med:precisePPhParSubstanceDosage</t>
  </si>
  <si>
    <t xml:space="preserve">précise produit pharmaceutique par substance et dosage</t>
  </si>
  <si>
    <t xml:space="preserve">Lien vers le PhPID2 que ce PHPID4 précise.</t>
  </si>
  <si>
    <t>med:precisePPhParSubstanceForme</t>
  </si>
  <si>
    <t xml:space="preserve">précise produit pharmaceutique par substance et forme</t>
  </si>
  <si>
    <t xml:space="preserve">Lien vers le PhPID3 que ce PHPID4 précise.</t>
  </si>
  <si>
    <t>PrescriptionEnDC</t>
  </si>
  <si>
    <t xml:space="preserve">Identifiant de la prescription en DC</t>
  </si>
  <si>
    <t xml:space="preserve">libellé de prescription</t>
  </si>
  <si>
    <t xml:space="preserve">Libellé normalisé de prescription.
Nom de la substance ou concaténation des noms des substances, séparés par un '+', par ordre alphabétique, suivi de l'expression de dosage normalisée, suivi de la forme pharmaceutique manufacturée normalisée, suivi de la voie d'administration normalisée.</t>
  </si>
  <si>
    <t>med:dateDebut</t>
  </si>
  <si>
    <t xml:space="preserve">date de début de validité</t>
  </si>
  <si>
    <t xml:space="preserve">Date de début de validité de ce libellé de prescription</t>
  </si>
  <si>
    <t>xsd:date</t>
  </si>
  <si>
    <t>med:dateFin</t>
  </si>
  <si>
    <t xml:space="preserve">date de fin de validité</t>
  </si>
  <si>
    <t xml:space="preserve">Date de fin de validité de ce libellé de prescription</t>
  </si>
  <si>
    <t>med:actif</t>
  </si>
  <si>
    <t>actif</t>
  </si>
  <si>
    <t xml:space="preserve">Booléen indiquant si ce libellé est actif.</t>
  </si>
  <si>
    <t>xsd:boolean</t>
  </si>
  <si>
    <t xml:space="preserve">Substance définissant ce libellé de prescription.
Une prescription en DC peut indiquer 3 substances au maximum.</t>
  </si>
  <si>
    <t xml:space="preserve">Note : sur la prescription en DC on peut avoir 3 substances maximum. Les PhPID ne sont pas limités en nombre de substances</t>
  </si>
  <si>
    <t xml:space="preserve">Dosage de présentation définissant ce libellé de prescription.
En fonction des patrons de dosage, les dosages présentation et concentration peuvent être présents ou absents. Au moins un dosage (présentation ou concentration) doit être indiqué.</t>
  </si>
  <si>
    <t xml:space="preserve">Dosage de présentation définissant ce libellé de prescription.
En fonction des motifs de dosage, les dosages présentation et concentration peuvent être présents ou omis. Au moins un dosage (présentation ou concentration) doit être indiqué.</t>
  </si>
  <si>
    <t>med:formeManufacturee</t>
  </si>
  <si>
    <t xml:space="preserve">forme manufacturée</t>
  </si>
  <si>
    <t xml:space="preserve">Forme pharmaceutique manufacturée normalisée définissant ce libellé de prescription.
Il s'agit d'une forme manufacturée, par opposition à la forme administrable qui définit les PhPID.
La forme  pharmaceutique administrable peut être déduite de la forme  pharmaceutique manufacturée et de la voie (1 forme  pharmaceutique manufacturée + 1 voie = 1 forme pharmaceutique administrable)</t>
  </si>
  <si>
    <t>med:voie</t>
  </si>
  <si>
    <t xml:space="preserve">voie d'administration</t>
  </si>
  <si>
    <t xml:space="preserve">La voie d'administration normalisée définissant ce libellé de prescription</t>
  </si>
  <si>
    <t>med:uniteDePresentation</t>
  </si>
  <si>
    <t xml:space="preserve">unité de présentation</t>
  </si>
  <si>
    <t xml:space="preserve">L'unité de présentation normalisée définissant ce libellé de prescription.
L'unité de présentation peut être répétée sur le dosage présentation en fonction des patrons d'expression de dosage.</t>
  </si>
  <si>
    <t>med:medicamentVirtuel</t>
  </si>
  <si>
    <t xml:space="preserve">médicament virtuel</t>
  </si>
  <si>
    <t xml:space="preserve">Lien vers le (ou les) médicament virtuel servant de base à la définition de ce libellé de prescription.
Ce lien est obligatoire, tous les libellés de prescription en DC doivent s'appuyer sur un médicament virtuel.
Dans certain cas une prescription en DC pourra correspondre à plusieurs médicaments virtuels (cas du Prasugrel)</t>
  </si>
  <si>
    <t>med:classementSubstanceDosageForme</t>
  </si>
  <si>
    <t xml:space="preserve">classement par substance, dosage et forme</t>
  </si>
  <si>
    <t xml:space="preserve">Lien vers un PhPID4 dans lequel est classé ce libellé de prescription.
Ce lien est obligatoire, tous les libellés de prescription en DC doivent être classés dans un PhPID4.</t>
  </si>
  <si>
    <t>DosagePresentation</t>
  </si>
  <si>
    <t xml:space="preserve">libellé du dosage</t>
  </si>
  <si>
    <t xml:space="preserve">Libellé de ce dosage. Même si formellement le modèle n'a pas besoin d'un libellé pour le dosage, il est obligatoire pour l'affichage dans le SMT. Le libellé du dosage est caculé de façon automatique à partir de ses caractéristiques.</t>
  </si>
  <si>
    <t xml:space="preserve">Uniquement pour des questions d'affichage dans le SMT</t>
  </si>
  <si>
    <t>med:substance</t>
  </si>
  <si>
    <t>substance</t>
  </si>
  <si>
    <t xml:space="preserve">substance pour laquelle est exprimé ce dosage</t>
  </si>
  <si>
    <t>med:quantiteSubstance</t>
  </si>
  <si>
    <t xml:space="preserve">quantité de substance</t>
  </si>
  <si>
    <t xml:space="preserve">Quantité de la substance. Cet attribut est renseigné pour les dosages exacts (cas le plus fréquent), mais pas pour les dosages par intervalle, qui utilisent les bornes inférieures et supérieures.</t>
  </si>
  <si>
    <t>xsd:decimal</t>
  </si>
  <si>
    <t>med:unite</t>
  </si>
  <si>
    <t xml:space="preserve">unité de la quantité de substance</t>
  </si>
  <si>
    <t xml:space="preserve">Code de l'unité de mesure de la quantité de substance normalisé dans la grammaire UCUM. Cet attribut est toujours renseigné pour les dosages exacts (cas le plus fréquent), mais pas pour les dosages par intervalle, qui utilisent les bornes inférieures et supérieures.</t>
  </si>
  <si>
    <t>cdt:ucumunit</t>
  </si>
  <si>
    <t>med:quantiteSubstanceInf</t>
  </si>
  <si>
    <t xml:space="preserve">quantité de substance - borne inférieure</t>
  </si>
  <si>
    <t xml:space="preserve">"Au moins cette quantité de substance..." : Borne inférieure d'un dosage exprimé par intervalle. Cet attribut n'est pas renseigné pour les dosages exacts.</t>
  </si>
  <si>
    <t>med:uniteInf</t>
  </si>
  <si>
    <t xml:space="preserve">quantité de substance - borne inférieure - unité</t>
  </si>
  <si>
    <t xml:space="preserve">Code de l'unité de mesure de la borne inférieure d'un dosage par intervalle, normalisé dans la grammaire UCUM. Cet attribut n'est pas renseigné pour les dosages exacts.</t>
  </si>
  <si>
    <t>med:quantiteSubstanceSup</t>
  </si>
  <si>
    <t xml:space="preserve">quantité de substance - borne supérieure</t>
  </si>
  <si>
    <t xml:space="preserve">"Pas plus de cette quantité de substance..." : Borne supérieure d'un dosage exprimé par intervalle. Cet attribut n'est pas renseigné pour les dosages exacts.</t>
  </si>
  <si>
    <t>med:uniteSup</t>
  </si>
  <si>
    <t xml:space="preserve">quantité de substance - borne supérieure - unité</t>
  </si>
  <si>
    <t xml:space="preserve">Code de l'unité de mesure de la borne supérieure d'un dosage par intervalle, normalisé dans la grammaire UCUM. Cet attribut n'est pas renseigné pour les dosages exacts.</t>
  </si>
  <si>
    <t>med:quantitePresentation</t>
  </si>
  <si>
    <t xml:space="preserve">quantité totale de la présentation</t>
  </si>
  <si>
    <t xml:space="preserve">Quantité ou volume total dans la présentation. Cet attribut est renseigné pour les dosages des formes liquides ou semi-solides dans un contenant (par exemple 50 mg/20mL)</t>
  </si>
  <si>
    <t xml:space="preserve">Si la quantité de présentation est présente, son unité doit être indiquée, et l'unité de présentation ne peut pas être indiquée.</t>
  </si>
  <si>
    <t>med:uniteQuantitePresentation</t>
  </si>
  <si>
    <t xml:space="preserve">unité de la quantité totale de présentation</t>
  </si>
  <si>
    <t xml:space="preserve">Code de l'unité de mesure de la quantité ou du volume total de la présentation, normalisé dans la grammaire UCUM. Cet attribut est présent seulement si on renseigne l'attribut de quantité totale dans la présentation.</t>
  </si>
  <si>
    <t xml:space="preserve">Unité de présentation pour l'expression de ce dosage. Cet attribut est renseigné pour les dosages exprimés par unité de dose (par exemple 50 mL/seringue, 50mg/bouffée)</t>
  </si>
  <si>
    <t xml:space="preserve">Si l'unité de présentation est indiquée, la quantité de présentation ne peut pas être présente</t>
  </si>
  <si>
    <t>DosageConcentration</t>
  </si>
  <si>
    <t xml:space="preserve">Libellé de ce dosage. Même si formellement le modèle n'a pas besoin d'un libellé pour le dosage, il est obligatoire pour l'affichage dans le SMT. Le libellé du dosage pourrait être caculé de façon automatique à partir de ses caractéristiques.</t>
  </si>
  <si>
    <t xml:space="preserve">concentration de la substance</t>
  </si>
  <si>
    <t xml:space="preserve">Concentration de la substance. Cet attribut est renseigné pour les dosages exacts (cas le plus fréquent), mais pas pour les dosages par intervalle, qui utilisent les bornes inférieures et supérieures.</t>
  </si>
  <si>
    <t xml:space="preserve">concentration de substance - borne inférieure</t>
  </si>
  <si>
    <t xml:space="preserve">"Au moins cette concentration de substance..." : Borne inférieure d'un dosage exprimé par intervalle. Cet attribut n'est pas renseigné pour les dosages exacts.</t>
  </si>
  <si>
    <t xml:space="preserve">concentration de substance - borne inférieure - unité</t>
  </si>
  <si>
    <t xml:space="preserve">concentration de substance - borne supérieure</t>
  </si>
  <si>
    <t xml:space="preserve">"Pas plus de cette concentration de substance..." : Borne supérieure d'un dosage exprimé par intervalle. Cet attribut n'est pas renseigné pour les dosages exacts.</t>
  </si>
  <si>
    <t xml:space="preserve">concentration de substance - borne supérieure - unité</t>
  </si>
  <si>
    <t xml:space="preserve">unité de la concentration de la substance</t>
  </si>
  <si>
    <t xml:space="preserve">Code de l'unité de mesure de la concentration, normalisé dans la grammaire UCUM, exprimé soit en concentration par volume (par exemple mg/mL), par masse (par exemple mg/g) ou en débit (par exemple mg/24h)</t>
  </si>
  <si>
    <t>med:exprimableEnPourcent</t>
  </si>
  <si>
    <t xml:space="preserve">exprimable en pourcent</t>
  </si>
  <si>
    <t xml:space="preserve">Indique si ce dosage en concentration peut être exprimé en pourcent en plus de l'indication de concentration, par exemple "2,5% (25 mg/g)" plutôt que simplement "25 mg/g".
Cela joue uniquement sur la façon de présenter ce dosage mais ce n'est pas une caractéristique formelle de celui-ci.
L'expression d'un dosage concentration en pourcent peut être utilisé dans les libellés de prescription en DC et certain libellés de PhPIDs correspondant à des gaz médicinaux, des pommades, des collyres, etc.</t>
  </si>
  <si>
    <t>Unite</t>
  </si>
  <si>
    <t xml:space="preserve">libellé de l'unité</t>
  </si>
  <si>
    <t>med:codeUcum</t>
  </si>
  <si>
    <t xml:space="preserve">code UCUM</t>
  </si>
  <si>
    <t xml:space="preserve">Code de cette unité de mesure normalisé dans la grammaire UCUM.</t>
  </si>
  <si>
    <t>med:multiplicateurPourcent</t>
  </si>
  <si>
    <t xml:space="preserve">multiplicateur pourcent</t>
  </si>
  <si>
    <t xml:space="preserve">Multiplicateur à utiliser pour convertir une quantité exprimée avec cette unité en pourcentage. Par exemple sur l'unité "mg/g", le multiplicateur pourcent est 0,1.</t>
  </si>
  <si>
    <t>skos:exactMatch</t>
  </si>
  <si>
    <t xml:space="preserve">correspondance QUDT</t>
  </si>
  <si>
    <t xml:space="preserve">Correspondance avec l'URI de l'unité dans le vocabulaire des unités QUDT (https://www.qudt.org/doc/DOC_VOCAB-UNITS.html)
Ce lien est purement informatif.</t>
  </si>
  <si>
    <t>SpecialitePharmaceutique</t>
  </si>
  <si>
    <t>med:CIS</t>
  </si>
  <si>
    <t>CIS</t>
  </si>
  <si>
    <t xml:space="preserve">Code CIS (code principal identifiant de la spécialité)</t>
  </si>
  <si>
    <t xml:space="preserve">libellé de la spécialité</t>
  </si>
  <si>
    <t xml:space="preserve">Nom de spécialité</t>
  </si>
  <si>
    <t xml:space="preserve">Indique si l'autorisation de cette spécialité est actuellement active (oui/non)</t>
  </si>
  <si>
    <t xml:space="preserve">date de première AMM</t>
  </si>
  <si>
    <t xml:space="preserve">Date de la (première) AMM ou de la première autorisation de cette spécialité.</t>
  </si>
  <si>
    <t xml:space="preserve">date de fin</t>
  </si>
  <si>
    <t xml:space="preserve">Date à laquelle l'autorisation de cette spécialité n'est plus active.</t>
  </si>
  <si>
    <t>med:classificationATC</t>
  </si>
  <si>
    <t xml:space="preserve">classification ATC</t>
  </si>
  <si>
    <t xml:space="preserve">Référence à un élément de la classification ATC de cette spécialité. Cet attribut n'est pas historisé et contient la dernière valeur en date du code ATC. Les évolutions de l’ATC elle-même sont historisées dans le référentiel ATC. 
Pour certaines spécialités archivées, il est possible que la référence à l'ATC ne soit pas présente dans le cas où ce code aurait disparu avant l'ATC 2022. Après 2022 l'ATC est cumulative et mêmes les codes dépréciés restent présents.</t>
  </si>
  <si>
    <t>med:codeATC</t>
  </si>
  <si>
    <t xml:space="preserve">code ATC</t>
  </si>
  <si>
    <t xml:space="preserve">Code ATC sous forme littérale (par exemple “G04CA01”). Le code est explicitement répété en plus de la référence à l'URI principalement pour des questions d'affichage car le simple libellé de la catégorie est ambigü.</t>
  </si>
  <si>
    <t>med:libelleATC</t>
  </si>
  <si>
    <t xml:space="preserve">libellé ATC (données source)</t>
  </si>
  <si>
    <t xml:space="preserve">Le libellé de la classification ATC donné à cette spécialité dans les données source. En cas d'évolution de la classification ATC, ce libellé pourrait être différent du libellé de la classification ATC actuelle, et est conservé pour cette raison</t>
  </si>
  <si>
    <t>med:concernePar</t>
  </si>
  <si>
    <t xml:space="preserve">concernée par</t>
  </si>
  <si>
    <t xml:space="preserve">Référence à un évènement qui concerne cette spécialité (autorisation, changement de statut, changement de procédure, etc.)</t>
  </si>
  <si>
    <t>med:typeProcedureCourante</t>
  </si>
  <si>
    <t xml:space="preserve">type de procédure courante</t>
  </si>
  <si>
    <t xml:space="preserve">Le régime de procédure courant de la spécialité. Le régime de procédure courant peut être différant du type de procédure de l'autorisation d'origine de la spécialité, dans les cas où un évènement à changé le type de procédure de la spécialité.</t>
  </si>
  <si>
    <t>med:statutCourant</t>
  </si>
  <si>
    <t xml:space="preserve">statut courant</t>
  </si>
  <si>
    <t xml:space="preserve">Le statut courant de la spécialité. Le statut peut évoluer au fil des évènements réglementaires qui concernent la spécialité.
Cet attribut capture seulement le dernier statut de la spécialité.</t>
  </si>
  <si>
    <t>med:seComposeDe</t>
  </si>
  <si>
    <t xml:space="preserve">se compose de ou des éléments</t>
  </si>
  <si>
    <t xml:space="preserve">Référence à un ou plusieurs éléments dans cette spécialité</t>
  </si>
  <si>
    <t>med:substanceActive</t>
  </si>
  <si>
    <t xml:space="preserve">substance active</t>
  </si>
  <si>
    <t xml:space="preserve">Substance active dans la spécialité (composant reconnu comme possédant des propriétés thérapeutiques).
Substance "contenue dans la boite" (qui n'est pas forcément identique à la substance dans laquelle est exprimée le dosage).
En principe toutes les spécialités ont au moins une substance active, mais des exceptions rares existent (les témoins de prick tests) où aucune substance active n'est répertoriée.</t>
  </si>
  <si>
    <t>sh:Warning</t>
  </si>
  <si>
    <t>med:fractionTherapeutique</t>
  </si>
  <si>
    <t xml:space="preserve">fraction thérapeutique</t>
  </si>
  <si>
    <t xml:space="preserve">Substance qui porte l'activité pharmacologique, et qui est une partie d'une substance active.
Cette substance n'est donc pas directement "contenue dans la boite".
Toutes les spécialités n'ont pas forcément de fraction thérapeutique indiquée.</t>
  </si>
  <si>
    <t xml:space="preserve">Substance de cette spécialité dans laquelle est exprimée son dosage.</t>
  </si>
  <si>
    <t xml:space="preserve">forme pharmaceutique pour la prescription</t>
  </si>
  <si>
    <t xml:space="preserve">Forme pharmaceutique pour la prescription de la Spécialité</t>
  </si>
  <si>
    <t>med:substancePortantLeDosageConnue</t>
  </si>
  <si>
    <t xml:space="preserve">substance qui porte le dosage connue</t>
  </si>
  <si>
    <t xml:space="preserve">Indique si la substance portant le dosage est connue pour cette spécialité. Cette valeur est à false si la substance portant le dosage n'est pas connue.</t>
  </si>
  <si>
    <t>med:aPourUniteDeDispensation</t>
  </si>
  <si>
    <t xml:space="preserve">a pour unité de dispensation</t>
  </si>
  <si>
    <t xml:space="preserve">Référence à une UCD qui dispense cette spécialité.
Une Spécialité peut être dispensée dans plusieurs UCD. Une Spécialité peut être dispensée dans plusieurs UCD. Elle est dispensée dans au moins une UCD.</t>
  </si>
  <si>
    <t>med:aPourPresentation</t>
  </si>
  <si>
    <t xml:space="preserve">a pour présentation</t>
  </si>
  <si>
    <t xml:space="preserve">Référence à une présentation qui présente cette spécialité.
Une Spécialité peut être présentée dans plusieurs présentations. Une Spécialité est présente dans au moins une présentation à partir du moment où elle a été commercialisée.</t>
  </si>
  <si>
    <t>med:libelle</t>
  </si>
  <si>
    <t xml:space="preserve">libellé historisé</t>
  </si>
  <si>
    <t xml:space="preserve">Référence à un libellé historisé. Chaque libellé historisé porte une date de début, éventuellement une date de fin, et la valeur du libellé.</t>
  </si>
  <si>
    <t>med:niveauDeVirtualisation</t>
  </si>
  <si>
    <t xml:space="preserve">niveau de virtualisation</t>
  </si>
  <si>
    <t xml:space="preserve">Indique a quel degré la spécialité peut être virtualisable : non virtualisable, virtualisable partiellement (uniquement en PhPID 1 par exemple), virtualisable complètement (jusqu'au PhPID 4).</t>
  </si>
  <si>
    <t>med:prescriptibiliteEnDC</t>
  </si>
  <si>
    <t xml:space="preserve">niveau de prescriptibilité en DC</t>
  </si>
  <si>
    <t xml:space="preserve">Indique a quel degré la spécialité est prescriptible en DC : prescriptible, non-prescriptible, prescriptible avec nom de marque.</t>
  </si>
  <si>
    <t>med:justificationNiveauDeVirtualisation</t>
  </si>
  <si>
    <t xml:space="preserve">justification du niveau de virtualisation</t>
  </si>
  <si>
    <t xml:space="preserve">Indique la justification du positionnement du médicaument par rapport à son niveau de virtualisation (par exemple : pas de principe actif).
Cet attribut est obligatoire si le niveau de virtualisation de la spécialité est "non virtualisable" ou "virtualisable partiellement". Il peut être répété.</t>
  </si>
  <si>
    <t>med:justificationPrescriptibiliteEnDC</t>
  </si>
  <si>
    <t xml:space="preserve">justification de la prescriptibilité en DC</t>
  </si>
  <si>
    <t xml:space="preserve">Indique la justification du positionnement du médicament par rapport à la prescription en DC (par exemple : spécialité radiopharmaceutique , homéopathie, phytothérapie, gaz médicinal, etc.). 
Cet attribut est obligatoire si le médicament est "non prescriptible" ou "prescriptible avec nom de marque". Il est vide si le médicament est "prescriptible en dénomination commune". Il peut être répété.</t>
  </si>
  <si>
    <t>med:titulaireCourant</t>
  </si>
  <si>
    <t xml:space="preserve">titulaire courant</t>
  </si>
  <si>
    <t xml:space="preserve">Le titulaire est le détenteur de l'autorisation. Le plus souvent, il s'agit d'un laboratoire pharmaceutique.
Cette propriété donne le titulaire courant de la spécialité, qui peut changer dans le temps. Dans le passé, il est possible qu'une spécialité ait eu des co-titulaires, dans ce cas cette propriété est renseignée deux fois.</t>
  </si>
  <si>
    <t xml:space="preserve">Une voie d'administration de cette spécialité</t>
  </si>
  <si>
    <t>med:estSpecialiteDeReferenceDans</t>
  </si>
  <si>
    <t xml:space="preserve">est spécialité de référence dans</t>
  </si>
  <si>
    <t xml:space="preserve">Groupe générique pour lequel cette spécialité est la spécialité de référence</t>
  </si>
  <si>
    <t>med:estSpecialiteGeneriqueDans</t>
  </si>
  <si>
    <t xml:space="preserve">est spécialité générique dans</t>
  </si>
  <si>
    <t xml:space="preserve">Groupe générique pour lequel cette spécialité est une spécialité générique</t>
  </si>
  <si>
    <t>med:estSpecialiteSubstituableDans</t>
  </si>
  <si>
    <t xml:space="preserve">est spécialité substituable dans</t>
  </si>
  <si>
    <t xml:space="preserve">Groupe générique pour lequel cette spécialité est une spécialité substituable</t>
  </si>
  <si>
    <t>med:gamme</t>
  </si>
  <si>
    <t xml:space="preserve">nom de gamme</t>
  </si>
  <si>
    <t xml:space="preserve">Gamme commerciale de cette spécialité</t>
  </si>
  <si>
    <t>Element</t>
  </si>
  <si>
    <t>med:identifiantElement</t>
  </si>
  <si>
    <t xml:space="preserve">identifiant de l'élément</t>
  </si>
  <si>
    <t xml:space="preserve">Identifiant (séquentiel) de l'élément dans la spécialité</t>
  </si>
  <si>
    <t xml:space="preserve">libellé de l'élémént</t>
  </si>
  <si>
    <t xml:space="preserve">Libellé de l'élément</t>
  </si>
  <si>
    <t>med:expressionDeDosage</t>
  </si>
  <si>
    <t xml:space="preserve">expression de dosage</t>
  </si>
  <si>
    <t xml:space="preserve">Expression de dosage d'un substance dans cet élément de spécialité</t>
  </si>
  <si>
    <t>med:compose</t>
  </si>
  <si>
    <t>compose</t>
  </si>
  <si>
    <t xml:space="preserve">Spécialité dont cet élément fait partie</t>
  </si>
  <si>
    <t>med:formeManufactureeLitterale</t>
  </si>
  <si>
    <t xml:space="preserve">forme manufacturée (littérale)</t>
  </si>
  <si>
    <t xml:space="preserve">La forme manufacturée de cet élément, sous forme de chaine de caractères non normalisée</t>
  </si>
  <si>
    <t xml:space="preserve">La forme manufacturée de cet élément, normalisée</t>
  </si>
  <si>
    <t xml:space="preserve">Substance active dans l'élément (composant reconnu comme possédant des propriétés thérapeutiques).
Substance "contenue dans la boite" (qui n'est pas forcément identique à la substance dans laquelle est exprimée le dosage).</t>
  </si>
  <si>
    <t xml:space="preserve">Substance qui porte l'activité pharmacologique, et qui est une partie d'une substance active.
Cette substance n'est donc pas directement "contenue dans la boite".
Tous les éléments n'ont pas forcément de fraction thérapeutique indiquée.</t>
  </si>
  <si>
    <t xml:space="preserve">Substance de cet élément dans laquelle est exprimée son dosage.</t>
  </si>
  <si>
    <t xml:space="preserve">Dosage en concentration de cet élément. Le dosage en concentration ne dépend pas du volume du contenant et est donc indiqué sur l'élément, contrairement au dosage présentation. 
Un élément ne peut avoir qu'un seul dosage en concentration pour une substance donnée.</t>
  </si>
  <si>
    <t>med:seManifesteDans</t>
  </si>
  <si>
    <t xml:space="preserve">se manifeste dans</t>
  </si>
  <si>
    <t xml:space="preserve">Référence à un élément d'une présentation dans lequel cet élément abstrait se manifeste.</t>
  </si>
  <si>
    <t xml:space="preserve">libellé de l'expression de dosage</t>
  </si>
  <si>
    <t xml:space="preserve">Libellé de l'expression de dosage</t>
  </si>
  <si>
    <t xml:space="preserve">substance de référence</t>
  </si>
  <si>
    <t xml:space="preserve">substance pour laquelle ce dosage est donné</t>
  </si>
  <si>
    <t>med:expressionQuantite</t>
  </si>
  <si>
    <t xml:space="preserve">expression quantité</t>
  </si>
  <si>
    <t xml:space="preserve">expression de la quantité dans l'expression de dosage</t>
  </si>
  <si>
    <t>med:expressionQuantiteNormalisee</t>
  </si>
  <si>
    <t xml:space="preserve">expression quantité normalisée</t>
  </si>
  <si>
    <t xml:space="preserve">expression de la quantité après étape de normalisation (suppression de la référence dosage redondante à la fin de l'expression de la quantité)</t>
  </si>
  <si>
    <t>med:referenceDosage</t>
  </si>
  <si>
    <t xml:space="preserve">référence dosage</t>
  </si>
  <si>
    <t xml:space="preserve">Référence du dosage telle qu'exprimée dans les fichiers d'entrée. La cardinalité min est spécifiée à 1, cependant dans certains cas limites, la référence dosage peut ne pas renseignée.</t>
  </si>
  <si>
    <t>med:referenceDosageNormalisee</t>
  </si>
  <si>
    <t xml:space="preserve">référence dosage normalisée</t>
  </si>
  <si>
    <t xml:space="preserve">référence du dosage après l'étape de normalisation</t>
  </si>
  <si>
    <t xml:space="preserve">sous forme de</t>
  </si>
  <si>
    <t xml:space="preserve">Substance de laquelle dérive la substance dont on exprime le dosage. La cardinalité max est spécifiée à 1, cependant dans certains cas spécifiques, la substance qui porte le dosage pourra être présente sous forme de plus d'une substance dans la spécialité.</t>
  </si>
  <si>
    <t xml:space="preserve">Eventuelle fraction thérapeutique libérée par la substance dont on exprime le dosage</t>
  </si>
  <si>
    <t>GroupeGenerique</t>
  </si>
  <si>
    <t xml:space="preserve">Identifiant du groupe générique</t>
  </si>
  <si>
    <t xml:space="preserve">libellé du groupe</t>
  </si>
  <si>
    <t xml:space="preserve">Libellé du groupe générique, par exemple "PRASUGREL (CHLORHYDRATE DE) équivalent à PRASUGREL 10 mg - PRASUGREL
(BROMHYDRATE DE) équivalent à PRASUGREL 10 mg - PRASUGREL (BESILATE DE) équivalent à
PRASUGREL 10 mg - EFIENT 10 mg, comprimé pelliculé"</t>
  </si>
  <si>
    <t>med:specialiteDeReference</t>
  </si>
  <si>
    <t xml:space="preserve">spécialité de référence</t>
  </si>
  <si>
    <t xml:space="preserve">Spécialité de référence (princeps) du groupe générique. Un groupe générique peut ne pas avoir de spécialité de référence, ou peut en avoir plusieurs.</t>
  </si>
  <si>
    <t>med:specialiteGenerique</t>
  </si>
  <si>
    <t xml:space="preserve">spécialité générique</t>
  </si>
  <si>
    <t xml:space="preserve">Spécialité générique à la spécialité de référence.</t>
  </si>
  <si>
    <t>med:specialiteSubstituable</t>
  </si>
  <si>
    <t xml:space="preserve">spécialité substituable</t>
  </si>
  <si>
    <t xml:space="preserve">Spécialité non générique mais substituable à la spécialité de référence.</t>
  </si>
  <si>
    <t>UniteCommuneDeDispensation</t>
  </si>
  <si>
    <t>med:codeUCD13</t>
  </si>
  <si>
    <t xml:space="preserve">UCD 13</t>
  </si>
  <si>
    <t xml:space="preserve">Code UCD constitué de 13 chiffres (code principal)</t>
  </si>
  <si>
    <t>med:codeUCD7</t>
  </si>
  <si>
    <t xml:space="preserve">UCD 7</t>
  </si>
  <si>
    <t xml:space="preserve">Code UCD constitué de 7 chiffres (ancien code)</t>
  </si>
  <si>
    <t xml:space="preserve">libellé de l'UCD</t>
  </si>
  <si>
    <t xml:space="preserve">Libellé d'affichage principal. Le dernier libellé dans l'historique des libellés sera pris comme libellé d'affichage principal.</t>
  </si>
  <si>
    <t>med:uniteDeDispensationDe</t>
  </si>
  <si>
    <t xml:space="preserve">unité de dispensation de</t>
  </si>
  <si>
    <t xml:space="preserve">Référence à la spécialité pharmaceutique dispensée par cette UCD. Cet attribut est obligatoire et unique.</t>
  </si>
  <si>
    <t>med:presenteDans</t>
  </si>
  <si>
    <t xml:space="preserve">présentée dans</t>
  </si>
  <si>
    <t xml:space="preserve">Référence à une présentation qui contient cette UCD. Plusieurs présentations peuvent contenir la même UCD.</t>
  </si>
  <si>
    <t xml:space="preserve">Référence à un libellé historisé de l'UCD. Chaque libellé historisé porte une date de début, éventuellement une date de fin, et la valeur du libellé.</t>
  </si>
  <si>
    <t>Presentation</t>
  </si>
  <si>
    <t>med:CIP13</t>
  </si>
  <si>
    <t>CIP13</t>
  </si>
  <si>
    <t xml:space="preserve">Code CIP constitué de 13 chiffres (code principal)</t>
  </si>
  <si>
    <t>med:CIP7</t>
  </si>
  <si>
    <t>CIP7</t>
  </si>
  <si>
    <t xml:space="preserve">Code CIP constitué de 7 chiffres (ancien code). Il n'est pas toujours présent, c'est un identifiant historique.</t>
  </si>
  <si>
    <t xml:space="preserve">libellé de la présentation</t>
  </si>
  <si>
    <t xml:space="preserve">Libellé d'affichage principal. Le dernier libellé long dans l'historique des libellés sera pris comme libellé d'affichage principal (source ANSM).</t>
  </si>
  <si>
    <t>skos:altLabel</t>
  </si>
  <si>
    <t xml:space="preserve">libellé court</t>
  </si>
  <si>
    <t xml:space="preserve">Libellé court principal. Le dernier libellé court dans l'historique des libellés sera pris comme valeur (source Club InterPharmaceutique).</t>
  </si>
  <si>
    <t>med:nombreUniteDeDispensation</t>
  </si>
  <si>
    <t xml:space="preserve">nombre d'unités de dispensation</t>
  </si>
  <si>
    <t xml:space="preserve">Donne le nombre d'unité de dispensation dans la présentation</t>
  </si>
  <si>
    <t>xsd:integer</t>
  </si>
  <si>
    <t>med:typeDispositif</t>
  </si>
  <si>
    <t>dispositif</t>
  </si>
  <si>
    <t xml:space="preserve">Type de dispositif d'administration dans cette présentation (exemple : "cuillère-mesure"). Il peut y avoir plusieurs dispositifs. Ce champs n'a pas été renseigné de façon systématique.</t>
  </si>
  <si>
    <t>med:presente</t>
  </si>
  <si>
    <t xml:space="preserve">présente la spécialité</t>
  </si>
  <si>
    <t xml:space="preserve">Référence à la spécialité pharmaceutique présentée dans cette présentation. Cet attribut est obligatoire et unique.</t>
  </si>
  <si>
    <t>med:contientUniteDeDispensation</t>
  </si>
  <si>
    <t xml:space="preserve">contient unité de dispensation</t>
  </si>
  <si>
    <t xml:space="preserve">Référence à l'UCD contenue dans cette présentation. Une présentation ne peut contenir qu'une seule UCD.</t>
  </si>
  <si>
    <t>rdfs:subClassOf</t>
  </si>
  <si>
    <t>classement</t>
  </si>
  <si>
    <t xml:space="preserve">Une Présentation porte 2 informations de classement : elle est toujours sous-classe de med:Présentation, mais également sous-classe de la Spécialité qu'elle présente. Les Présentations héritent de toutes les caractéristiques de leur Spécialité.</t>
  </si>
  <si>
    <t>med:prescriptibleComme</t>
  </si>
  <si>
    <t xml:space="preserve">prescriptible comme</t>
  </si>
  <si>
    <t xml:space="preserve">Référence à une prescription en dénomination commune à laquelle cette présentation peut correspondre. Une présentation peut correspondre à plusieurs prescription en DC. Cette référence n'est pas renseignée pour les spécialités non virtualisables ou les spécialités virtualisables mais faisant exception à la prescription en DC.</t>
  </si>
  <si>
    <t>med:quantiteConditionnement</t>
  </si>
  <si>
    <t xml:space="preserve">quantité du conditionnement primaire</t>
  </si>
  <si>
    <t xml:space="preserve">Donne le volume, le poids, le nombre de doses ou la quantité de radioactivité contenue dans la présentation. L'unité est donnée dans un autre attribut.</t>
  </si>
  <si>
    <t>med:uniteQuantiteConditionnement</t>
  </si>
  <si>
    <t xml:space="preserve">unité de la quantité du conditionnement primaire</t>
  </si>
  <si>
    <t xml:space="preserve">Donne l'unité de la quantité du conditionnement primaire.</t>
  </si>
  <si>
    <t xml:space="preserve">Element de présentation contenu dans cette présentation</t>
  </si>
  <si>
    <t xml:space="preserve">Référence à un évènement qui concerne cette présentation (typiquement début ou fin de commercialisation).</t>
  </si>
  <si>
    <t xml:space="preserve">libellé long historisé</t>
  </si>
  <si>
    <t xml:space="preserve">Référence à un libellé long historisé de cette présentation. Chaque libellé historisé porte une date de début, éventuellement une date de fin, et la valeur du libellé.</t>
  </si>
  <si>
    <t>med:libelleCourt</t>
  </si>
  <si>
    <t xml:space="preserve">libellé court historisé</t>
  </si>
  <si>
    <t xml:space="preserve">Référence à un libellé court historisé de cette présentation. Chaque libellé historisé porte une date de début, éventuellement une date de fin, et la valeur du libellé.</t>
  </si>
  <si>
    <t xml:space="preserve">Dosage de présentation possible pour cette présentation. Une même présentation peut posséder plusieurs dosage présentation possible pour la même substance de référence.</t>
  </si>
  <si>
    <t xml:space="preserve">Dosage en concentration possible pour cette présentation. Une même présentation ne peut posséder qu'un seul dosage concentration pour la même substance de référence</t>
  </si>
  <si>
    <t xml:space="preserve">La voie d'administration de cette présentation.</t>
  </si>
  <si>
    <t xml:space="preserve">La forme manufacturée de cette présentation. La forme indiquée à ce niveau peut être plus spécifique que celle indiquée au niveau de la spécialité. Par exemple "solution injectable" sur la spécialité, et "Solution injectable en récipient multidose" sur une présentation.</t>
  </si>
  <si>
    <t>ElementPresentation</t>
  </si>
  <si>
    <t xml:space="preserve">Présentation dont fait partie cet élément Présentation</t>
  </si>
  <si>
    <t xml:space="preserve">Un élément présentation porte 2 informations de classement : il est toujours sous-classe de med:ElementPresentation mais également sous-classe de l'élément de spécialité correspondant. Les élément de présentations héritent de toutes les caractéristiques de l'élément de spécialité correspondant.</t>
  </si>
  <si>
    <t xml:space="preserve">Identifiant (séquentiel) de l'élément dans la présentation</t>
  </si>
  <si>
    <t xml:space="preserve">Libellé de l'élément présentation</t>
  </si>
  <si>
    <t>med:manifeste</t>
  </si>
  <si>
    <t>manifeste</t>
  </si>
  <si>
    <t xml:space="preserve">Référence à un Element de Spécialité dont cet élément de présentation est une manifestation concrète.</t>
  </si>
  <si>
    <t>med:typeContenantLitteral</t>
  </si>
  <si>
    <t xml:space="preserve">type de contenant (littéral)</t>
  </si>
  <si>
    <t xml:space="preserve">Le conditionnement primaire qui contient le médicament, indépendemment de tous les éventuels dispositifs d'administration qui sont "autour", sous forme de chaine de caractères non-normalisée.</t>
  </si>
  <si>
    <t>med:typeContenant</t>
  </si>
  <si>
    <t xml:space="preserve">type de contenant</t>
  </si>
  <si>
    <t xml:space="preserve">Le conditionnement primaire qui contient le médicament, indépendemment de tous les éventuels dispositifs d'administration qui sont "autour".</t>
  </si>
  <si>
    <t xml:space="preserve">Classement de cet élément de présentation sur un PhPID4. Cet attribut est toujours renseigné, sauf dans le cas des spécialités non virtualisables, pour lesquelles c'est seulement le classement par substance qui est indiqué.
Cet attribut peut être répété pour le cas où un même élément dans une présentation pourrait donner lieu à plusieurs formes administrables.</t>
  </si>
  <si>
    <t>med:classementSubstance</t>
  </si>
  <si>
    <t xml:space="preserve">classement par substance</t>
  </si>
  <si>
    <t xml:space="preserve">Classement de cet élément de présentation sur un PhPID1. Cet attribut est renseigné seulement pour les spécialités non virtualisables.</t>
  </si>
  <si>
    <t xml:space="preserve">Forme  pharmaceutique administrable de cet élément</t>
  </si>
  <si>
    <t xml:space="preserve">Dosage présentation possible pour cet élément dans cette présentation. En fonction des patrons de dosage, un élément peut se voir associer plusieurs dosages présentation possibles pour une substance donnée, par exemple "10 mg" ou "10 mg/comprimé". Ou encore "40 mg/0,4 mL" et "40 mg/seringue".</t>
  </si>
  <si>
    <t xml:space="preserve">Unité de présentation de cet élément de présentation</t>
  </si>
  <si>
    <t>med:typeDose</t>
  </si>
  <si>
    <t xml:space="preserve">type de dose</t>
  </si>
  <si>
    <t xml:space="preserve">Indique le type de dose de cet élément dans la présentation : unidose (usage unique) ou multidose (usage multiple).</t>
  </si>
  <si>
    <t xml:space="preserve">Identifiant technique de l'organisation, issu de la base ANSM</t>
  </si>
  <si>
    <t xml:space="preserve">Nom de l'organisation, issu de la base ANSM</t>
  </si>
  <si>
    <t>med:nomPays</t>
  </si>
  <si>
    <t xml:space="preserve">nom du pays</t>
  </si>
  <si>
    <t xml:space="preserve">Nom du pays de cette organisation</t>
  </si>
  <si>
    <t xml:space="preserve">Identifiant technique de la substance, issu des bases ANSM</t>
  </si>
  <si>
    <t>dct:created</t>
  </si>
  <si>
    <t xml:space="preserve">date de création</t>
  </si>
  <si>
    <t xml:space="preserve">Date de création de la substance dans le système</t>
  </si>
  <si>
    <t>med:codeSMS</t>
  </si>
  <si>
    <t xml:space="preserve">code SMS</t>
  </si>
  <si>
    <t xml:space="preserve">Code SMS correspondant de la substance. Toutes les substances n'ont pas d'équivalent SMS, ce code n'est pas obligatoirement présent.</t>
  </si>
  <si>
    <t xml:space="preserve">Libellé préférentiel de la substance qui est utilisé dans les PhPID du référentiel du médicament</t>
  </si>
  <si>
    <t>synonyme</t>
  </si>
  <si>
    <t xml:space="preserve">Libellé synonyme de cette substance</t>
  </si>
  <si>
    <t>med:estSubstanceActiveDans</t>
  </si>
  <si>
    <t xml:space="preserve">substance active dans</t>
  </si>
  <si>
    <t xml:space="preserve">Référence à une spécialité dans laquelle cette substance est une substance active.
Propriété inverse de "substanceActive" pour les spécialités.</t>
  </si>
  <si>
    <t>med:estFractionTherapeutiqueDans</t>
  </si>
  <si>
    <t xml:space="preserve">fraction thérapeutique dans</t>
  </si>
  <si>
    <t xml:space="preserve">Référence à une spécialité dans laquelle cette substance est une fraction thérapeutique.
Propriété inverse de "fractionTherapeutique" pour les spécialités.</t>
  </si>
  <si>
    <t xml:space="preserve">équivalent SMS</t>
  </si>
  <si>
    <t xml:space="preserve">Identifiant de substance équivalente dans le référentiel SMS</t>
  </si>
  <si>
    <t>Voie</t>
  </si>
  <si>
    <t xml:space="preserve">Identifiant (standard term ou "technique") de la voie</t>
  </si>
  <si>
    <t xml:space="preserve">Libellé de la voie</t>
  </si>
  <si>
    <t>med:codeEDQM</t>
  </si>
  <si>
    <t xml:space="preserve">code EDQM</t>
  </si>
  <si>
    <t xml:space="preserve">Code de la voie dans le référentiel EDQM</t>
  </si>
  <si>
    <t>med:codeRMS</t>
  </si>
  <si>
    <t xml:space="preserve">code RMS</t>
  </si>
  <si>
    <t xml:space="preserve">Code de la voie dans le référentiel RMS</t>
  </si>
  <si>
    <t xml:space="preserve">équivalent RMS</t>
  </si>
  <si>
    <t xml:space="preserve">Identifiant de la voie équivalente dans le référentiel RMS</t>
  </si>
  <si>
    <t xml:space="preserve">Identifiant (standard term ou "technique") de la forme</t>
  </si>
  <si>
    <t xml:space="preserve">Libellé de la forme</t>
  </si>
  <si>
    <t xml:space="preserve">équivalent EDQM</t>
  </si>
  <si>
    <t xml:space="preserve">Identifiant de la forme équivalente dans le référentiel EDQM</t>
  </si>
  <si>
    <t>UniteDePresentation</t>
  </si>
  <si>
    <t xml:space="preserve">Identifiant (standard term ou "technique") de l'unité de présentation</t>
  </si>
  <si>
    <t xml:space="preserve">Libellé de l'unité de présentation</t>
  </si>
  <si>
    <t>TypeContenant</t>
  </si>
  <si>
    <t xml:space="preserve">Identifiant (standard term ou "technique") du conditionnement</t>
  </si>
  <si>
    <t xml:space="preserve">Identifiant interne de la gamme</t>
  </si>
  <si>
    <t>med:gammeInclut</t>
  </si>
  <si>
    <t xml:space="preserve">spécialité(s) associée(s) au nom de gamme</t>
  </si>
  <si>
    <t xml:space="preserve">Référence à une spécialité incluse dans cette gamme</t>
  </si>
  <si>
    <t>JustificationNiveauVirtualisation</t>
  </si>
  <si>
    <t>skos:example</t>
  </si>
  <si>
    <t>exemple</t>
  </si>
  <si>
    <t xml:space="preserve">Exemple de valeur</t>
  </si>
  <si>
    <t>JustificationNiveauPrescriptibilite</t>
  </si>
  <si>
    <t>Evenement</t>
  </si>
  <si>
    <t xml:space="preserve">med:Evenement, med:Autorisation, med:ChangementDeStatut</t>
  </si>
  <si>
    <t xml:space="preserve">Libellé de l'événement</t>
  </si>
  <si>
    <t>med:dateNotification</t>
  </si>
  <si>
    <t xml:space="preserve">date de notification</t>
  </si>
  <si>
    <t xml:space="preserve">Date de notification réglementaire de l'évènement, qui peut être différente de sa date d'effet. Les dates de notifications ne sont pas toujours connues.</t>
  </si>
  <si>
    <t>med:dateEffet</t>
  </si>
  <si>
    <t xml:space="preserve">date d'effet</t>
  </si>
  <si>
    <t xml:space="preserve">Date de prise d'effet de l'évènement, qui peut être différente de sa date de notification/publication. C’est la date principale de l’événement, celle qui a un sens réglementaire.</t>
  </si>
  <si>
    <t>med:description</t>
  </si>
  <si>
    <t>description</t>
  </si>
  <si>
    <t xml:space="preserve">Une description textuelle</t>
  </si>
  <si>
    <t>med:concerne</t>
  </si>
  <si>
    <t>concerne</t>
  </si>
  <si>
    <t xml:space="preserve">Référence à la Spécialité ou à la Présentation concernée par cet évènement</t>
  </si>
  <si>
    <t xml:space="preserve">Note : le range est défini comme un sh:or vers les spécialités ou les présentations</t>
  </si>
  <si>
    <t xml:space="preserve">([med:sousClasseDe med:SpecialitePharmaceutique][med:sousClasseDe med:Presentation])</t>
  </si>
  <si>
    <t>med:typeEvenement</t>
  </si>
  <si>
    <t xml:space="preserve">type d'évènement</t>
  </si>
  <si>
    <t xml:space="preserve">Le type de l'évènement : une autorisation, un changement de statut, etc.</t>
  </si>
  <si>
    <t>med:typeProcedure</t>
  </si>
  <si>
    <t xml:space="preserve">type de procédure</t>
  </si>
  <si>
    <t xml:space="preserve">Le type de procédure selon laquelle a été délivrée l'autorisation</t>
  </si>
  <si>
    <t>TypeEvenement</t>
  </si>
  <si>
    <t xml:space="preserve">Nom du type d'évènement</t>
  </si>
  <si>
    <t>skos:definition</t>
  </si>
  <si>
    <t>définition</t>
  </si>
  <si>
    <t>Définition</t>
  </si>
  <si>
    <t xml:space="preserve">Identifiant technique</t>
  </si>
  <si>
    <t xml:space="preserve">Date de création de cette valeur dans la liste</t>
  </si>
  <si>
    <t>dct:modified</t>
  </si>
  <si>
    <t xml:space="preserve">date de dernière modification</t>
  </si>
  <si>
    <t xml:space="preserve">Date de dernière modification de cette valeur dans la liste</t>
  </si>
  <si>
    <t>owl:deprecated</t>
  </si>
  <si>
    <t xml:space="preserve">déprécié oui/non</t>
  </si>
  <si>
    <t>Déprécié</t>
  </si>
  <si>
    <t>StatutSpecialite</t>
  </si>
  <si>
    <t xml:space="preserve">Nom du statut</t>
  </si>
  <si>
    <t>TypeProcedure</t>
  </si>
  <si>
    <t xml:space="preserve">Nom du type de procédure</t>
  </si>
  <si>
    <t>NiveauVirtualisation</t>
  </si>
  <si>
    <t>NiveauPrescriptibilite</t>
  </si>
  <si>
    <t>BlankNode_LabelWithDates</t>
  </si>
  <si>
    <t xml:space="preserve">à partir de</t>
  </si>
  <si>
    <t xml:space="preserve">Date de début de cette entrée d'historique</t>
  </si>
  <si>
    <t>jusqu'au</t>
  </si>
  <si>
    <t xml:space="preserve">Date de fin de cette entrée d'historique</t>
  </si>
  <si>
    <t>skosxl:literalForm</t>
  </si>
  <si>
    <t xml:space="preserve">Chaine de caractère du libellé dans cette plage de date</t>
  </si>
  <si>
    <t>^sh:sparql(separator=",")</t>
  </si>
  <si>
    <t>dct:description@fr</t>
  </si>
  <si>
    <t>sh:message</t>
  </si>
  <si>
    <t>sh:select</t>
  </si>
  <si>
    <t>sh:SPARQLConstraint</t>
  </si>
  <si>
    <t xml:space="preserve">Toutes les substance de dosage d'un PhPID 2 doivent être présentes dans la liste des substances de ce PhPID</t>
  </si>
  <si>
    <t xml:space="preserve">La substance "{?substanceDosage}" n'existe pas dans la liste des substances de ce PhPID.</t>
  </si>
  <si>
    <t xml:space="preserve">PREFIX med: &lt;http://data.esante.gouv.fr/ansm/medicament/&gt;
SELECT $this ?substanceDosage
WHERE {
  $this (med:dosagePresentation|med:dosageConcentration)/med:substance ?substanceDosage .
  FILTER NOT EXISTS {
    $this med:substance ?substanceDosage .
  }
}</t>
  </si>
  <si>
    <t xml:space="preserve">Toutes les substance de dosage d'un PhPID 4 doivent être présentes dans la liste des substances de ce PhPID</t>
  </si>
  <si>
    <t xml:space="preserve">Seules les Présentations de Spécialités prescriptibles en DC peuvent avoir une prescription en DC.</t>
  </si>
  <si>
    <t xml:space="preserve">La Présentation est liée à une prescription en DC sans que sa spécialitée soit prescriptible en DC.</t>
  </si>
  <si>
    <t xml:space="preserve">PREFIX med: &lt;http://data.esante.gouv.fr/ansm/medicament/&gt;
PREFIX rdfs: &lt;http://www.w3.org/2000/01/rdf-schema#&gt;
SELECT $this
WHERE {
  $this med:prescriptibleComme ?dc .
  FILTER NOT EXISTS {
    $this med:presente/med:prescriptibiliteEnDC ?niveauDc .
   # prescriptible en DC + avec nom de marque
    FILTER( ?niveauDc IN(med:NiveauPrescriptibilite_315 med:NiveauPrescriptibilite_317))
  }
}</t>
  </si>
  <si>
    <t xml:space="preserve">Toutes les Présentations de Spécialités prescriptibles en DC devraient avoir une prescription en DC</t>
  </si>
  <si>
    <t xml:space="preserve">La Présentation d'une Spécialité prescriptible en DC n'est pas liée à une prescription en DC.</t>
  </si>
  <si>
    <t xml:space="preserve">PREFIX med: &lt;http://data.esante.gouv.fr/ansm/medicament/&gt;
PREFIX rdfs: &lt;http://www.w3.org/2000/01/rdf-schema#&gt;
SELECT $this
WHERE {
  $this med:presente/med:prescriptibiliteEnDC ?niveauDc .
   # prescriptible en DC + avec nom de marque
   FILTER( ?niveauDc IN(med:NiveauPrescriptibilite_315 med:NiveauPrescriptibilite_317))
  FILTER NOT EXISTS {
    $this med:prescriptibleComme ?dc .
  }
}</t>
  </si>
  <si>
    <t xml:space="preserve">Seules les éléments présentation de Spécialités virtualisables peuvent avoir un classement sur un PhPID4.</t>
  </si>
  <si>
    <t xml:space="preserve">L'élément présentation est lié à un PhPID4 sans que sa spécialité soit indiquée comme étant virtualisable.</t>
  </si>
  <si>
    <t xml:space="preserve">PREFIX med: &lt;http://data.esante.gouv.fr/ansm/medicament/&gt;
PREFIX rdfs: &lt;http://www.w3.org/2000/01/rdf-schema#&gt;
SELECT $this
WHERE {
  $this med:classementSubstanceDosageForme ?phpid4 .
  FILTER NOT EXISTS {
    $this med:compose/med:presente/med:niveauDeVirtualisation ?niveauVirt .
    FILTER( ?niveauVirt IN(med:Categorie_xx, med:Categorie_yy))
  }
}</t>
  </si>
  <si>
    <t xml:space="preserve">Tous les éléments présentation de Spécialités virtualisables devraient être classées dans un PhPID4</t>
  </si>
  <si>
    <t xml:space="preserve">L'élément présentation d'une Spécialité virtualisable n'est pas liée à un PhPID4</t>
  </si>
  <si>
    <t xml:space="preserve">PREFIX med: &lt;http://data.esante.gouv.fr/ansm/medicament/&gt;
PREFIX rdfs: &lt;http://www.w3.org/2000/01/rdf-schema#&gt;
SELECT $this
WHERE {
  $this med:compose/med:presente/med:niveauDeVirtualisation ?niveauVirt .
  FILTER( ?niveauVirt IN(med:Categorie_xx, med:Categorie_yy))
  FILTER NOT EXISTS {
    $this med:classementSubstanceDosageForme ?phpid4 .
  }
}</t>
  </si>
  <si>
    <t xml:space="preserve">Seuls les Elements Présentations de Spécialités partiellement virtualisables peuvent avoir un classement sur un PhPID1</t>
  </si>
  <si>
    <t xml:space="preserve">L'élément Présentation est lié à un PhPID1 sans être dans une Présentation d'une Spécialité partiellement virtualisable.</t>
  </si>
  <si>
    <t xml:space="preserve">PREFIX med: &lt;http://data.esante.gouv.fr/ansm/medicament/&gt;
PREFIX rdfs: &lt;http://www.w3.org/2000/01/rdf-schema#&gt;
SELECT $this
WHERE {
  $this med:classementSubstance ?phpid1 .
  FILTER NOT EXISTS {
    $this med:compose/med:presente/med:niveauDeVirtualisation ?niveauVirt .
    FILTER( ?categorie IN(med:Categorie_xx, med:Categorie_yy))
  }
}</t>
  </si>
  <si>
    <t xml:space="preserve">Tous les éléments présentation de Spécialités partiellement virtualisables devraient être classées dans un PhPID1</t>
  </si>
  <si>
    <t xml:space="preserve">L'élément Présentation d'une Spécialité partiellement virtualisable n'est pas liée à un PhPID1</t>
  </si>
  <si>
    <t xml:space="preserve">PREFIX med: &lt;http://data.esante.gouv.fr/ansm/medicament/&gt;
PREFIX rdfs: &lt;http://www.w3.org/2000/01/rdf-schema#&gt;
SELECT $this
WHERE {
  $this med:compose/med:presente/med:niveauDeVirtualisation ?niveauVirt .
  FILTER( ?categorie IN(med:Categorie_xx, med:Categorie_yy))
  FILTER NOT EXISTS {
    $this med:classementSubstance ?phpid1 .
  }
}</t>
  </si>
  <si>
    <t xml:space="preserve">med:DosagePresentation, med:DosageConcentration</t>
  </si>
  <si>
    <t xml:space="preserve">Un dosage présentation ou concentration doit être exprimé soit avec une quantité de substance exacte, soit avec un intervalle de dosage.</t>
  </si>
  <si>
    <t xml:space="preserve">Le dosage n'est pas exprimé avec une quantité exacte ni avec un intervalle</t>
  </si>
  <si>
    <t xml:space="preserve">PREFIX med: &lt;http://data.esante.gouv.fr/ansm/medicament/&gt;
PREFIX rdfs: &lt;http://www.w3.org/2000/01/rdf-schema#&gt;
SELECT $this
WHERE {
    FILTER NOT EXISTS { $this med:quantiteSubstance ?qtt }
    FILTER NOT EXISTS { $this med:quantiteSubstanceInf ?qttInf . }
    FILTER NOT EXISTS { $this med:quantiteSubstanceSup ?qttSup . }
}</t>
  </si>
  <si>
    <t xml:space="preserve">Le CIS d'une Présentation doit être le même que le CIS de l'UCD de cette Présentation</t>
  </si>
  <si>
    <t xml:space="preserve">La spécialité d'une Présentation ne se retrouve pas comme spécialité de l'UCD de cette Présentation</t>
  </si>
  <si>
    <t xml:space="preserve">PREFIX med: &lt;http://data.esante.gouv.fr/ansm/medicament/&gt;
PREFIX rdfs: &lt;http://www.w3.org/2000/01/rdf-schema#&gt;
SELECT $this
WHERE {
  $this med:presente ?specialite .
  $this med:contientUniteDeDispensation ?ucd .
  FILTER NOT EXISTS {
    ?ucd med:uniteDeDispensationDe ?specialite .
  }
}</t>
  </si>
  <si>
    <t xml:space="preserve">Il ne faut pas avoir de doublons de libellés de substances</t>
  </si>
  <si>
    <t xml:space="preserve">Le libellé de la substance est en doublon avec une autre substance</t>
  </si>
  <si>
    <t xml:space="preserve">PREFIX med: &lt;http://data.esante.gouv.fr/ansm/medicament/&gt;
PREFIX rdfs: &lt;http://www.w3.org/2000/01/rdf-schema#&gt;
PREFIX skos: &lt;http://www.w3.org/2004/02/skos/core#&gt;
SELECT DISTINCT $this ?autreSub ?value
WHERE {
  $this rdfs:label|skos:altLabel ?unNom .
  OPTIONAL { ?this &lt;http://data.esante.gouv.fr/ansm/medicament/codeSMS&gt; ?sms .}
  ?autreSub rdfs:subClassOf &lt;http://data.esante.gouv.fr/ansm/medicament/Substance&gt; .
  OPTIONAL {?autreSub &lt;http://data.esante.gouv.fr/ansm/medicament/codeSMS&gt; ?autreSMS . }
  FILTER(?autreSub != $this)
  ?autreSub rdfs:label|skos:altLabel ?unNom .
  BIND(?unNom AS ?value)
}</t>
  </si>
  <si>
    <t xml:space="preserve">Un synonyme de substance ne peut pas être en prefLabel</t>
  </si>
  <si>
    <t xml:space="preserve">Un synonyme de Substance existe également en prefLabel</t>
  </si>
  <si>
    <t xml:space="preserve">PREFIX med: &lt;http://data.esante.gouv.fr/ansm/medicament/&gt;
PREFIX rdfs: &lt;http://www.w3.org/2000/01/rdf-schema#&gt;
PREFIX skos: &lt;http://www.w3.org/2004/02/skos/core#&gt;
SELECT $this ?unNom ?value
WHERE {
  $this skos:altLabel ?unNom .
  $this rdfs:label ?unNom .
  BIND(?unNom AS ?value)
}</t>
  </si>
  <si>
    <t xml:space="preserve">Un libellé préférentiel de Substance ne doit pas comporter de parenthèses</t>
  </si>
  <si>
    <t xml:space="preserve">Un libellé préférentiel de Substance contient des parenthèses</t>
  </si>
  <si>
    <t xml:space="preserve">PREFIX med: &lt;http://data.esante.gouv.fr/ansm/medicament/&gt;
PREFIX rdfs: &lt;http://www.w3.org/2000/01/rdf-schema#&gt;
PREFIX skos: &lt;http://www.w3.org/2004/02/skos/core#&gt;
SELECT $this $PATH ?value
WHERE {
    $this rdfs:label ?value .
    FILTER( CONTAINS(STR(?value), "(") )
    FILTER( !CONTAINS(STR(?value), "Homéopathie") )
    BIND(rdfs:label AS $PATH)
}</t>
  </si>
  <si>
    <t xml:space="preserve">Une justification doit être indiquée si le niveau de prescriptibilité n'est pas "prescriptible en DC"</t>
  </si>
  <si>
    <t xml:space="preserve">Une spécialité qui n'est pas prescriptible en DC n'a pas de justification associée.</t>
  </si>
  <si>
    <t xml:space="preserve">PREFIX med: &lt;http://data.esante.gouv.fr/ansm/medicament/&gt;
PREFIX rdfs: &lt;http://www.w3.org/2000/01/rdf-schema#&gt;
PREFIX skos: &lt;http://www.w3.org/2004/02/skos/core#&gt;
SELECT $this ?value
WHERE {
  $this med:prescriptibiliteEnDC ?value .
  FILTER(?value NOT IN (med:NiveauPrescriptibilite_315 med:NiveauPrescriptibilite_316))
  FILTER NOT EXISTS {
    $this med:justificationPrescriptibiliteEnDC ?justification .
  }
}</t>
  </si>
  <si>
    <t xml:space="preserve">Une justification doit être indiquée si le niveau de virtualisation n'est pas "virtualisable"</t>
  </si>
  <si>
    <t xml:space="preserve">TEMP : Une spécialité qui n'est pas virtualisable n'a pas de justification associée.</t>
  </si>
  <si>
    <t xml:space="preserve">PREFIX med: &lt;http://data.esante.gouv.fr/ansm/medicament/&gt;
PREFIX rdfs: &lt;http://www.w3.org/2000/01/rdf-schema#&gt;
PREFIX skos: &lt;http://www.w3.org/2004/02/skos/core#&gt;
SELECT $this ?value
WHERE {
  $this med:niveauDeVirtualisation ?value .
  FILTER(?value != med:NiveauVirtualisation_XXX)
  FILTER NOT EXISTS {
    $this med:justificationNiveauDeVirtualisation ?justification .
  }
}</t>
  </si>
  <si>
    <t xml:space="preserve">Une Présentation ne peut avoir au maximum qu'un seul dosage concentration pour la même substance</t>
  </si>
  <si>
    <t xml:space="preserve">Une présentation ne peut avoir qu'un seul dosage concentration pour une substance donnée.</t>
  </si>
  <si>
    <t xml:space="preserve">PREFIX med: &lt;http://data.esante.gouv.fr/ansm/medicament/&gt;
PREFIX rdfs: &lt;http://www.w3.org/2000/01/rdf-schema#&gt;
PREFIX skos: &lt;http://www.w3.org/2004/02/skos/core#&gt;
SELECT $this ?value
WHERE {
  $this med:dosageConcentration ?dc .
  ?dc med:substance ?substance .
  $this med:dosageConcentration ?autreDc .
  ?autreDc med:substance ?substance .
  FILTER(?autreDc != ?dc &amp;&amp; STR(?autreDc) &lt; STR(?dc))
  BIND(?substance AS ?value) .
}</t>
  </si>
  <si>
    <t xml:space="preserve">La quantité d'une UCD doit être obligatoire pour les formes liquides et semi-liquide</t>
  </si>
  <si>
    <t xml:space="preserve">Ces règles convertissent la spécification SHACL basée sur du OWL avec des subClassOf en spécification SHACL standard basée sur des instances de classes, pour génération de la doc</t>
  </si>
  <si>
    <t>sh:targetSubjectsOf(separator=",")</t>
  </si>
  <si>
    <t>sh:targetObjectsOf(separator=",")</t>
  </si>
  <si>
    <t>sh:rule(id="rule")</t>
  </si>
  <si>
    <t>rdf:type(subjectColumn="rule")</t>
  </si>
  <si>
    <t>rdfs:comment(subjectColumn="rule")</t>
  </si>
  <si>
    <t>sh:construct^^xsd:string(subjectColumn="rule")</t>
  </si>
  <si>
    <t>med:SHACLConversionShape</t>
  </si>
  <si>
    <t>sh:NodeShape</t>
  </si>
  <si>
    <t>med:turnIntoShClass</t>
  </si>
  <si>
    <t>sh:SPARQLRule</t>
  </si>
  <si>
    <t xml:space="preserve">Convertir les "med:sousClasseDe" en classical sh:class"</t>
  </si>
  <si>
    <t xml:space="preserve">PREFIX sh: &lt;http://www.w3.org/ns/shacl#&gt;
PREFIX med: &lt;http://data.esante.gouv.fr/ansm/medicament/&gt;
CONSTRUCT {
  $this sh:node ?sousClasseDe
} WHERE {
  $this med:sousClasseDe ?sousClasseDe
}</t>
  </si>
  <si>
    <t>med:SHACLConversionShapeEverything</t>
  </si>
  <si>
    <t xml:space="preserve">sh:path, sh:property, rdf:first, dcterms:title, dcterms:description, dcat:downloadURL, sh:closed</t>
  </si>
  <si>
    <t>med:copiesEverything</t>
  </si>
  <si>
    <t xml:space="preserve">Recopie tout</t>
  </si>
  <si>
    <t xml:space="preserve">PREFIX sh: &lt;http://www.w3.org/ns/shacl#&gt;
PREFIX med: &lt;http://data.esante.gouv.fr/ansm/medicament/&gt;
CONSTRUCT {
  $this ?p ?o .
  $this sh:target ?target .
  ?target ?p2 ?o2 .
} WHERE {
  $this ?p ?o .
  OPTIONAL { $this sh:target ?target . ?target ?p2 ?o2 }
}</t>
  </si>
  <si>
    <t xml:space="preserve">Ces contraintes sont les équivalents de sh:class mais pour tester sur rdfs:subClassOf, et dash:closedByTypes mais en testant sur les rdfs:subClassOf</t>
  </si>
  <si>
    <t>sh:parameter</t>
  </si>
  <si>
    <t>sh:labelTemplate</t>
  </si>
  <si>
    <t>sh:nodeValidator(id="nodeValidator")</t>
  </si>
  <si>
    <t>rdf:type(subjectColumn="nodeValidator")</t>
  </si>
  <si>
    <t>sh:message(subjectColumn="nodeValidator")</t>
  </si>
  <si>
    <t>sh:select(subjectColumn="nodeValidator")</t>
  </si>
  <si>
    <t>sh:propertyValidator(id="propertyValidator")</t>
  </si>
  <si>
    <t>rdf:type(subjectColumn="propertyValidator")</t>
  </si>
  <si>
    <t>sh:message(subjectColumn="propertyValidator")</t>
  </si>
  <si>
    <t>sh:select(subjectColumn="propertyValidator")</t>
  </si>
  <si>
    <t>med:Component_sousClasseDe</t>
  </si>
  <si>
    <t>sh:ConstraintComponent</t>
  </si>
  <si>
    <t xml:space="preserve">[
  sh:path med:sousClasseDe ;
  sh:name "sous-classe de"@fr;
  sh:name "subClass of"@en;
  sh:description "The class of which the value is expected to be a subClassOf"@en ;
]</t>
  </si>
  <si>
    <t xml:space="preserve">The value must be a subClassOf {$sousClasseDe}</t>
  </si>
  <si>
    <t>sh:SPARQLSelectValidator</t>
  </si>
  <si>
    <t xml:space="preserve">Value is not an rdfs:subClassOf {$sousClasseDe}</t>
  </si>
  <si>
    <t xml:space="preserve">PREFIX rdfs: &lt;http://www.w3.org/2000/01/rdf-schema#&gt;
SELECT ?this WHERE {
      FILTER NOT EXISTS { 
        ?this rdfs:subClassOf+ $sousClasseDe .
      }
}</t>
  </si>
  <si>
    <t xml:space="preserve">PREFIX rdfs: &lt;http://www.w3.org/2000/01/rdf-schema#&gt;
SELECT ?this ?value WHERE {
      ?this ?PATH ?value .
      FILTER NOT EXISTS { 
        ?value rdfs:subClassOf+ $sousClasseDe .
      }
}</t>
  </si>
  <si>
    <t>med:Component_closedBySuperClasses</t>
  </si>
  <si>
    <t xml:space="preserve">[
  sh:path med:closedBySuperClasses ;
  sh:name "fermé par les super classes"@fr;
  sh:name "closed by super classes"@en;
]</t>
  </si>
  <si>
    <t xml:space="preserve">The property does not belong to a superclass</t>
  </si>
  <si>
    <t xml:space="preserve">Predicate not allowed {$path} : closed by super classes</t>
  </si>
  <si>
    <t xml:space="preserve">PREFIX rdfs: &lt;http://www.w3.org/2000/01/rdf-schema#&gt;
PREFIX rdf: &lt;http://www.w3.org/1999/02/22-rdf-syntax-ns#&gt;
PREFIX owl: &lt;http://www.w3.org/2002/07/owl#&gt;
PREFIX sh: &lt;http://www.w3.org/ns/shacl#&gt;
SELECT $this (?predicate AS ?path) ?value
WHERE {
    FILTER ($closedBySuperClasses) .
    $this ?predicate ?value .
        FILTER (?predicate NOT IN (rdf:type, rdfs:subClassOf, owl:equivalentTo)) .
        FILTER NOT EXISTS {
                $this rdfs:subClassOf* ?class .
                ?class sh:property/sh:path ?predicate .
        }
}</t>
  </si>
  <si>
    <t>dcterms:description@fr</t>
  </si>
  <si>
    <t>sh:order^^xsd:integer</t>
  </si>
  <si>
    <t xml:space="preserve">1. Spécialités, Présentations, UCD</t>
  </si>
  <si>
    <t xml:space="preserve">2. Elements et Dosages</t>
  </si>
  <si>
    <t xml:space="preserve">3. Prescriptions en DC</t>
  </si>
  <si>
    <t xml:space="preserve">4. PhPIDs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</si>
</sst>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5">
    <font>
      <sz val="10.000000"/>
      <color theme="1"/>
      <name val="Arial"/>
      <scheme val="minor"/>
    </font>
    <font>
      <b/>
      <sz val="10.000000"/>
      <color theme="1"/>
      <name val="Arial"/>
      <scheme val="minor"/>
    </font>
    <font>
      <u/>
      <sz val="10.000000"/>
      <color theme="10"/>
      <name val="Arial"/>
    </font>
    <font>
      <u/>
      <sz val="10.000000"/>
      <color rgb="FF1155CC"/>
      <name val="Arial"/>
    </font>
    <font>
      <u/>
      <sz val="10.000000"/>
      <color indexed="4"/>
      <name val="Arial"/>
    </font>
    <font>
      <sz val="10.000000"/>
      <name val="Arial"/>
    </font>
    <font>
      <u/>
      <sz val="10.000000"/>
      <color rgb="FF1155CC"/>
      <name val="Arial"/>
      <scheme val="minor"/>
    </font>
    <font>
      <b/>
      <sz val="14.000000"/>
      <color theme="1"/>
      <name val="Arial"/>
      <scheme val="minor"/>
    </font>
    <font>
      <strike/>
      <sz val="10.000000"/>
      <color theme="1"/>
      <name val="Arial"/>
      <scheme val="minor"/>
    </font>
    <font>
      <i/>
      <sz val="10.000000"/>
      <color theme="1"/>
      <name val="Arial"/>
      <scheme val="minor"/>
    </font>
    <font>
      <sz val="10.000000"/>
      <color theme="1"/>
      <name val="Arial"/>
    </font>
    <font>
      <sz val="10.000000"/>
      <name val="&quot;Arial&quot;"/>
    </font>
    <font>
      <b/>
      <sz val="12.000000"/>
      <color theme="1"/>
      <name val="Arial"/>
      <scheme val="minor"/>
    </font>
    <font>
      <sz val="10.000000"/>
      <color indexed="2"/>
      <name val="Arial"/>
      <scheme val="minor"/>
    </font>
    <font>
      <b/>
      <sz val="10.000000"/>
      <name val="Arial"/>
    </font>
  </fonts>
  <fills count="17">
    <fill>
      <patternFill patternType="none"/>
    </fill>
    <fill>
      <patternFill patternType="gray125"/>
    </fill>
    <fill>
      <patternFill patternType="solid">
        <fgColor theme="0" tint="-0.249977111117893"/>
        <bgColor theme="0" tint="-0.249977111117893"/>
      </patternFill>
    </fill>
    <fill>
      <patternFill patternType="solid">
        <fgColor rgb="FFCFE2F3"/>
        <bgColor rgb="FFCFE2F3"/>
      </patternFill>
    </fill>
    <fill>
      <patternFill patternType="solid">
        <fgColor rgb="FF8E7CC3"/>
        <bgColor rgb="FF8E7CC3"/>
      </patternFill>
    </fill>
    <fill>
      <patternFill patternType="solid">
        <fgColor rgb="FFB7B7B7"/>
        <bgColor rgb="FFB7B7B7"/>
      </patternFill>
    </fill>
    <fill>
      <patternFill patternType="solid">
        <fgColor theme="7"/>
        <bgColor theme="7"/>
      </patternFill>
    </fill>
    <fill>
      <patternFill patternType="solid">
        <fgColor rgb="FFCC0000"/>
        <bgColor rgb="FFCC0000"/>
      </patternFill>
    </fill>
    <fill>
      <patternFill patternType="solid">
        <fgColor theme="4"/>
        <bgColor theme="4"/>
      </patternFill>
    </fill>
    <fill>
      <patternFill patternType="solid">
        <fgColor theme="6"/>
        <bgColor theme="6"/>
      </patternFill>
    </fill>
    <fill>
      <patternFill patternType="solid">
        <fgColor rgb="FFEFEFEF"/>
        <bgColor rgb="FFEFEFEF"/>
      </patternFill>
    </fill>
    <fill>
      <patternFill patternType="solid">
        <fgColor rgb="FFE06666"/>
        <bgColor rgb="FFE06666"/>
      </patternFill>
    </fill>
    <fill>
      <patternFill patternType="solid">
        <fgColor rgb="FFCCCCCC"/>
        <bgColor rgb="FFCCCCCC"/>
      </patternFill>
    </fill>
    <fill>
      <patternFill patternType="solid">
        <fgColor theme="8"/>
        <bgColor theme="8"/>
      </patternFill>
    </fill>
    <fill>
      <patternFill patternType="solid">
        <fgColor rgb="FFA2C4C9"/>
        <bgColor rgb="FFA2C4C9"/>
      </patternFill>
    </fill>
    <fill>
      <patternFill patternType="solid">
        <fgColor rgb="FF999999"/>
        <bgColor rgb="FF999999"/>
      </patternFill>
    </fill>
    <fill>
      <patternFill patternType="solid">
        <fgColor indexed="5"/>
        <bgColor indexed="5"/>
      </patternFill>
    </fill>
  </fills>
  <borders count="5">
    <border>
      <left style="none"/>
      <right style="none"/>
      <top style="none"/>
      <bottom style="none"/>
      <diagonal style="none"/>
    </border>
    <border>
      <left style="thin">
        <color rgb="FFCCCCCC"/>
      </left>
      <right style="thin">
        <color rgb="FFCCCCCC"/>
      </right>
      <top style="thin">
        <color rgb="FFCCCCCC"/>
      </top>
      <bottom style="thin">
        <color rgb="FFCCCCCC"/>
      </bottom>
      <diagonal style="none"/>
    </border>
    <border>
      <left style="none"/>
      <right style="thin">
        <color auto="1"/>
      </right>
      <top style="none"/>
      <bottom style="none"/>
      <diagonal style="none"/>
    </border>
    <border>
      <left style="thin">
        <color auto="1"/>
      </left>
      <right style="none"/>
      <top style="none"/>
      <bottom style="none"/>
      <diagonal style="none"/>
    </border>
    <border>
      <left style="thin">
        <color rgb="FFCCCCCC"/>
      </left>
      <right style="thin">
        <color auto="1"/>
      </right>
      <top style="thin">
        <color rgb="FFCCCCCC"/>
      </top>
      <bottom style="thin">
        <color rgb="FFCCCCCC"/>
      </bottom>
      <diagonal style="none"/>
    </border>
  </borders>
  <cellStyleXfs count="1">
    <xf fontId="0" fillId="0" borderId="0" numFmtId="0" applyNumberFormat="1" applyFont="1" applyFill="1" applyBorder="1"/>
  </cellStyleXfs>
  <cellXfs count="101">
    <xf fontId="0" fillId="0" borderId="0" numFmtId="0" xfId="0"/>
    <xf fontId="1" fillId="0" borderId="0" numFmtId="0" xfId="0" applyFont="1" applyAlignment="1">
      <alignment horizontal="right"/>
    </xf>
    <xf fontId="0" fillId="0" borderId="0" numFmtId="0" xfId="0"/>
    <xf fontId="2" fillId="0" borderId="0" numFmtId="0" xfId="0" applyFont="1"/>
    <xf fontId="3" fillId="0" borderId="0" numFmtId="0" xfId="0" applyFont="1"/>
    <xf fontId="4" fillId="0" borderId="0" numFmtId="0" xfId="0" applyFont="1"/>
    <xf fontId="5" fillId="0" borderId="0" numFmtId="0" xfId="0" applyFont="1" applyAlignment="1">
      <alignment wrapText="1"/>
    </xf>
    <xf fontId="0" fillId="0" borderId="0" numFmtId="14" xfId="0" applyNumberFormat="1" applyAlignment="1">
      <alignment horizontal="left"/>
    </xf>
    <xf fontId="0" fillId="0" borderId="0" numFmtId="0" xfId="0" applyAlignment="1">
      <alignment wrapText="1"/>
    </xf>
    <xf fontId="0" fillId="2" borderId="0" numFmtId="0" xfId="0" applyFill="1"/>
    <xf fontId="0" fillId="2" borderId="0" numFmtId="0" xfId="0" applyFill="1" applyAlignment="1">
      <alignment wrapText="1"/>
    </xf>
    <xf fontId="6" fillId="0" borderId="0" numFmtId="0" xfId="0" applyFont="1"/>
    <xf fontId="1" fillId="3" borderId="0" numFmtId="0" xfId="0" applyFont="1" applyFill="1" applyAlignment="1">
      <alignment horizontal="center"/>
    </xf>
    <xf fontId="1" fillId="3" borderId="0" numFmtId="0" xfId="0" applyFont="1" applyFill="1" applyAlignment="1">
      <alignment horizontal="center" wrapText="1"/>
    </xf>
    <xf fontId="1" fillId="2" borderId="0" numFmtId="0" xfId="0" applyFont="1" applyFill="1" applyAlignment="1">
      <alignment horizontal="center"/>
    </xf>
    <xf fontId="1" fillId="2" borderId="0" numFmtId="0" xfId="0" applyFont="1" applyFill="1" applyAlignment="1">
      <alignment horizontal="center" wrapText="1"/>
    </xf>
    <xf fontId="7" fillId="4" borderId="0" numFmtId="0" xfId="0" applyFont="1" applyFill="1"/>
    <xf fontId="7" fillId="4" borderId="0" numFmtId="0" xfId="0" applyFont="1" applyFill="1" applyAlignment="1">
      <alignment wrapText="1"/>
    </xf>
    <xf fontId="7" fillId="2" borderId="0" numFmtId="0" xfId="0" applyFont="1" applyFill="1"/>
    <xf fontId="7" fillId="2" borderId="0" numFmtId="0" xfId="0" applyFont="1" applyFill="1" applyAlignment="1">
      <alignment wrapText="1"/>
    </xf>
    <xf fontId="5" fillId="0" borderId="1" numFmtId="0" xfId="0" applyFont="1" applyBorder="1" applyAlignment="1">
      <alignment horizontal="left" wrapText="1"/>
    </xf>
    <xf fontId="7" fillId="5" borderId="0" numFmtId="0" xfId="0" applyFont="1" applyFill="1"/>
    <xf fontId="0" fillId="5" borderId="0" numFmtId="0" xfId="0" applyFill="1" applyAlignment="1">
      <alignment wrapText="1"/>
    </xf>
    <xf fontId="0" fillId="5" borderId="0" numFmtId="0" xfId="0" applyFill="1"/>
    <xf fontId="7" fillId="6" borderId="0" numFmtId="0" xfId="0" applyFont="1" applyFill="1"/>
    <xf fontId="0" fillId="6" borderId="0" numFmtId="0" xfId="0" applyFill="1" applyAlignment="1">
      <alignment wrapText="1"/>
    </xf>
    <xf fontId="0" fillId="6" borderId="0" numFmtId="0" xfId="0" applyFill="1"/>
    <xf fontId="0" fillId="6" borderId="2" numFmtId="0" xfId="0" applyFill="1" applyBorder="1" applyAlignment="1">
      <alignment wrapText="1"/>
    </xf>
    <xf fontId="7" fillId="7" borderId="0" numFmtId="0" xfId="0" applyFont="1" applyFill="1"/>
    <xf fontId="0" fillId="7" borderId="0" numFmtId="0" xfId="0" applyFill="1" applyAlignment="1">
      <alignment wrapText="1"/>
    </xf>
    <xf fontId="0" fillId="7" borderId="0" numFmtId="0" xfId="0" applyFill="1"/>
    <xf fontId="7" fillId="8" borderId="0" numFmtId="0" xfId="0" applyFont="1" applyFill="1"/>
    <xf fontId="0" fillId="8" borderId="0" numFmtId="0" xfId="0" applyFill="1" applyAlignment="1">
      <alignment wrapText="1"/>
    </xf>
    <xf fontId="0" fillId="8" borderId="0" numFmtId="0" xfId="0" applyFill="1"/>
    <xf fontId="0" fillId="8" borderId="2" numFmtId="0" xfId="0" applyFill="1" applyBorder="1"/>
    <xf fontId="7" fillId="9" borderId="0" numFmtId="0" xfId="0" applyFont="1" applyFill="1"/>
    <xf fontId="0" fillId="9" borderId="0" numFmtId="0" xfId="0" applyFill="1" applyAlignment="1">
      <alignment wrapText="1"/>
    </xf>
    <xf fontId="0" fillId="9" borderId="0" numFmtId="0" xfId="0" applyFill="1"/>
    <xf fontId="0" fillId="9" borderId="2" numFmtId="0" xfId="0" applyFill="1" applyBorder="1" applyAlignment="1">
      <alignment wrapText="1"/>
    </xf>
    <xf fontId="8" fillId="0" borderId="0" numFmtId="0" xfId="0" applyFont="1"/>
    <xf fontId="8" fillId="0" borderId="0" numFmtId="0" xfId="0" applyFont="1" applyAlignment="1">
      <alignment wrapText="1"/>
    </xf>
    <xf fontId="8" fillId="2" borderId="0" numFmtId="0" xfId="0" applyFont="1" applyFill="1"/>
    <xf fontId="8" fillId="2" borderId="0" numFmtId="0" xfId="0" applyFont="1" applyFill="1" applyAlignment="1">
      <alignment wrapText="1"/>
    </xf>
    <xf fontId="7" fillId="10" borderId="0" numFmtId="0" xfId="0" applyFont="1" applyFill="1"/>
    <xf fontId="0" fillId="10" borderId="0" numFmtId="0" xfId="0" applyFill="1" applyAlignment="1">
      <alignment wrapText="1"/>
    </xf>
    <xf fontId="0" fillId="10" borderId="0" numFmtId="0" xfId="0" applyFill="1"/>
    <xf fontId="0" fillId="10" borderId="2" numFmtId="0" xfId="0" applyFill="1" applyBorder="1"/>
    <xf fontId="1" fillId="0" borderId="0" numFmtId="0" xfId="0" applyFont="1"/>
    <xf fontId="0" fillId="0" borderId="3" numFmtId="0" xfId="0" applyBorder="1" applyAlignment="1">
      <alignment horizontal="center"/>
    </xf>
    <xf fontId="0" fillId="0" borderId="0" numFmtId="0" xfId="0" applyAlignment="1">
      <alignment horizontal="center"/>
    </xf>
    <xf fontId="9" fillId="0" borderId="0" numFmtId="0" xfId="0" applyFont="1" applyAlignment="1">
      <alignment wrapText="1"/>
    </xf>
    <xf fontId="9" fillId="0" borderId="3" numFmtId="0" xfId="0" applyFont="1" applyBorder="1" applyAlignment="1">
      <alignment horizontal="center" wrapText="1"/>
    </xf>
    <xf fontId="9" fillId="0" borderId="0" numFmtId="0" xfId="0" applyFont="1" applyAlignment="1">
      <alignment horizontal="center" wrapText="1"/>
    </xf>
    <xf fontId="9" fillId="10" borderId="0" numFmtId="0" xfId="0" applyFont="1" applyFill="1" applyAlignment="1">
      <alignment wrapText="1"/>
    </xf>
    <xf fontId="1" fillId="3" borderId="3" numFmtId="0" xfId="0" applyFont="1" applyFill="1" applyBorder="1" applyAlignment="1">
      <alignment horizontal="center" wrapText="1"/>
    </xf>
    <xf fontId="7" fillId="8" borderId="3" numFmtId="0" xfId="0" applyFont="1" applyFill="1" applyBorder="1" applyAlignment="1">
      <alignment horizontal="center"/>
    </xf>
    <xf fontId="7" fillId="8" borderId="0" numFmtId="0" xfId="0" applyFont="1" applyFill="1" applyAlignment="1">
      <alignment horizontal="center"/>
    </xf>
    <xf fontId="10" fillId="10" borderId="0" numFmtId="0" xfId="0" applyFont="1" applyFill="1"/>
    <xf fontId="7" fillId="11" borderId="0" numFmtId="0" xfId="0" applyFont="1" applyFill="1"/>
    <xf fontId="7" fillId="11" borderId="3" numFmtId="0" xfId="0" applyFont="1" applyFill="1" applyBorder="1" applyAlignment="1">
      <alignment horizontal="center"/>
    </xf>
    <xf fontId="7" fillId="11" borderId="0" numFmtId="0" xfId="0" applyFont="1" applyFill="1" applyAlignment="1">
      <alignment horizontal="center"/>
    </xf>
    <xf fontId="7" fillId="12" borderId="0" numFmtId="0" xfId="0" applyFont="1" applyFill="1"/>
    <xf fontId="7" fillId="12" borderId="3" numFmtId="0" xfId="0" applyFont="1" applyFill="1" applyBorder="1" applyAlignment="1">
      <alignment horizontal="center"/>
    </xf>
    <xf fontId="7" fillId="12" borderId="0" numFmtId="0" xfId="0" applyFont="1" applyFill="1" applyAlignment="1">
      <alignment horizontal="center"/>
    </xf>
    <xf fontId="11" fillId="0" borderId="0" numFmtId="0" xfId="0" applyFont="1"/>
    <xf fontId="7" fillId="13" borderId="0" numFmtId="0" xfId="0" applyFont="1" applyFill="1"/>
    <xf fontId="7" fillId="13" borderId="3" numFmtId="0" xfId="0" applyFont="1" applyFill="1" applyBorder="1" applyAlignment="1">
      <alignment horizontal="center"/>
    </xf>
    <xf fontId="7" fillId="13" borderId="0" numFmtId="0" xfId="0" applyFont="1" applyFill="1" applyAlignment="1">
      <alignment horizontal="center"/>
    </xf>
    <xf fontId="0" fillId="0" borderId="3" numFmtId="0" xfId="0" applyBorder="1" applyAlignment="1">
      <alignment horizontal="center" wrapText="1"/>
    </xf>
    <xf fontId="0" fillId="0" borderId="0" numFmtId="0" xfId="0" applyAlignment="1">
      <alignment horizontal="center" wrapText="1"/>
    </xf>
    <xf fontId="11" fillId="0" borderId="0" numFmtId="0" xfId="0" applyFont="1" applyAlignment="1">
      <alignment wrapText="1"/>
    </xf>
    <xf fontId="10" fillId="0" borderId="0" numFmtId="0" xfId="0" applyFont="1"/>
    <xf fontId="10" fillId="0" borderId="0" numFmtId="0" xfId="0" applyFont="1" applyAlignment="1">
      <alignment wrapText="1"/>
    </xf>
    <xf fontId="10" fillId="0" borderId="3" numFmtId="0" xfId="0" applyFont="1" applyBorder="1" applyAlignment="1">
      <alignment horizontal="center"/>
    </xf>
    <xf fontId="10" fillId="0" borderId="0" numFmtId="0" xfId="0" applyFont="1" applyAlignment="1">
      <alignment horizontal="center"/>
    </xf>
    <xf fontId="0" fillId="14" borderId="0" numFmtId="0" xfId="0" applyFill="1" applyAlignment="1">
      <alignment wrapText="1"/>
    </xf>
    <xf fontId="7" fillId="4" borderId="3" numFmtId="0" xfId="0" applyFont="1" applyFill="1" applyBorder="1" applyAlignment="1">
      <alignment horizontal="center"/>
    </xf>
    <xf fontId="7" fillId="4" borderId="0" numFmtId="0" xfId="0" applyFont="1" applyFill="1" applyAlignment="1">
      <alignment horizontal="center"/>
    </xf>
    <xf fontId="7" fillId="6" borderId="0" numFmtId="0" xfId="0" applyFont="1" applyFill="1" applyAlignment="1">
      <alignment wrapText="1"/>
    </xf>
    <xf fontId="7" fillId="6" borderId="3" numFmtId="0" xfId="0" applyFont="1" applyFill="1" applyBorder="1" applyAlignment="1">
      <alignment horizontal="center"/>
    </xf>
    <xf fontId="7" fillId="6" borderId="0" numFmtId="0" xfId="0" applyFont="1" applyFill="1" applyAlignment="1">
      <alignment horizontal="center"/>
    </xf>
    <xf fontId="7" fillId="6" borderId="3" numFmtId="0" xfId="0" applyFont="1" applyFill="1" applyBorder="1" applyAlignment="1">
      <alignment horizontal="center" wrapText="1"/>
    </xf>
    <xf fontId="7" fillId="6" borderId="0" numFmtId="0" xfId="0" applyFont="1" applyFill="1" applyAlignment="1">
      <alignment horizontal="center" wrapText="1"/>
    </xf>
    <xf fontId="7" fillId="9" borderId="3" numFmtId="0" xfId="0" applyFont="1" applyFill="1" applyBorder="1" applyAlignment="1">
      <alignment horizontal="center"/>
    </xf>
    <xf fontId="7" fillId="9" borderId="0" numFmtId="0" xfId="0" applyFont="1" applyFill="1" applyAlignment="1">
      <alignment horizontal="center"/>
    </xf>
    <xf fontId="10" fillId="15" borderId="0" numFmtId="0" xfId="0" applyFont="1" applyFill="1"/>
    <xf fontId="12" fillId="6" borderId="0" numFmtId="0" xfId="0" applyFont="1" applyFill="1"/>
    <xf fontId="7" fillId="10" borderId="0" numFmtId="0" xfId="0" applyFont="1" applyFill="1" applyAlignment="1">
      <alignment wrapText="1"/>
    </xf>
    <xf fontId="7" fillId="10" borderId="3" numFmtId="0" xfId="0" applyFont="1" applyFill="1" applyBorder="1" applyAlignment="1">
      <alignment horizontal="center"/>
    </xf>
    <xf fontId="7" fillId="10" borderId="0" numFmtId="0" xfId="0" applyFont="1" applyFill="1" applyAlignment="1">
      <alignment horizontal="center"/>
    </xf>
    <xf fontId="1" fillId="0" borderId="0" numFmtId="0" xfId="0" applyFont="1" applyAlignment="1">
      <alignment horizontal="right" wrapText="1"/>
    </xf>
    <xf fontId="13" fillId="0" borderId="0" numFmtId="0" xfId="0" applyFont="1" applyAlignment="1">
      <alignment wrapText="1"/>
    </xf>
    <xf fontId="0" fillId="16" borderId="0" numFmtId="0" xfId="0" applyFill="1" applyAlignment="1">
      <alignment wrapText="1"/>
    </xf>
    <xf fontId="0" fillId="0" borderId="0" numFmtId="0" xfId="0" applyAlignment="1">
      <alignment horizontal="left" wrapText="1"/>
    </xf>
    <xf fontId="4" fillId="0" borderId="0" numFmtId="0" xfId="0" applyFont="1" applyAlignment="1">
      <alignment wrapText="1"/>
    </xf>
    <xf fontId="14" fillId="0" borderId="1" numFmtId="0" xfId="0" applyFont="1" applyBorder="1" applyAlignment="1">
      <alignment horizontal="right" wrapText="1"/>
    </xf>
    <xf fontId="2" fillId="0" borderId="4" numFmtId="0" xfId="0" applyFont="1" applyBorder="1" applyAlignment="1">
      <alignment horizontal="left" wrapText="1"/>
    </xf>
    <xf fontId="0" fillId="0" borderId="1" numFmtId="0" xfId="0" applyBorder="1" applyAlignment="1">
      <alignment horizontal="left" wrapText="1"/>
    </xf>
    <xf fontId="14" fillId="3" borderId="1" numFmtId="0" xfId="0" applyFont="1" applyFill="1" applyBorder="1" applyAlignment="1">
      <alignment horizontal="center" wrapText="1"/>
    </xf>
    <xf fontId="5" fillId="0" borderId="1" numFmtId="0" xfId="0" applyFont="1" applyBorder="1" applyAlignment="1">
      <alignment horizontal="right" wrapText="1"/>
    </xf>
    <xf fontId="5" fillId="0" borderId="4" numFmtId="0" xfId="0" applyFont="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10" Type="http://schemas.openxmlformats.org/officeDocument/2006/relationships/sharedStrings" Target="sharedStrings.xml"/><Relationship  Id="rId11" Type="http://schemas.openxmlformats.org/officeDocument/2006/relationships/styles" Target="styles.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datashapes.org/dash" TargetMode="External"/><Relationship  Id="rId2" Type="http://schemas.openxmlformats.org/officeDocument/2006/relationships/hyperlink" Target="http://data.esante.gouv.fr/ansm/medicament" TargetMode="External"/><Relationship  Id="rId3" Type="http://schemas.openxmlformats.org/officeDocument/2006/relationships/hyperlink" Target="http://data.esante.gouv.fr/coe/standardterms/classes/ROA" TargetMode="External"/><Relationship  Id="rId4" Type="http://schemas.openxmlformats.org/officeDocument/2006/relationships/hyperlink" Target="https://w3id.org/cdt/" TargetMode="External"/><Relationship  Id="rId5" Type="http://schemas.openxmlformats.org/officeDocument/2006/relationships/hyperlink" Target="https://shacl-play.sparna.fr/ontology" TargetMode="External"/><Relationship  Id="rId6" Type="http://schemas.openxmlformats.org/officeDocument/2006/relationships/hyperlink" Target="https://smt.esante.gouv.fr/ruim/"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  Id="rId2" Type="http://schemas.openxmlformats.org/officeDocument/2006/relationships/hyperlink" Target="https://private-user-images.githubusercontent.com/2728945/377025141-df51280c-7b0b-426d-8e30-f6ecdf2c931b.png?jwt=eyJhbGciOiJIUzI1NiIsInR5cCI6IkpXVCJ9.eyJpc3MiOiJnaXRodWIuY29tIiwiYXVkIjoicmF3LmdpdGh1YnVzZXJjb250ZW50LmNvbSIsImtleSI6ImtleTUiLCJleHAiOjE3MzAzOTQ0OTQsIm5iZiI6MTczMDM5NDE5NCwicGF0aCI6Ii8yNzI4OTQ1LzM3NzAyNTE0MS1kZjUxMjgwYy03YjBiLTQyNmQtOGUzMC1mNmVjZGYyYzkzMWIucG5nP1gtQW16LUFsZ29yaXRobT1BV1M0LUhNQUMtU0hBMjU2JlgtQW16LUNyZWRlbnRpYWw9QUtJQVZDT0RZTFNBNTNQUUs0WkElMkYyMDI0MTAzMSUyRnVzLWVhc3QtMSUyRnMzJTJGYXdzNF9yZXF1ZXN0JlgtQW16LURhdGU9MjAyNDEwMzFUMTcwMzE0WiZYLUFtei1FeHBpcmVzPTMwMCZYLUFtei1TaWduYXR1cmU9ZTRiNWY0MmZmZDE3M2Y0ZGVhZjVlOWVhY2Y0NTU5NTJhZDdkZGI3MGJiYmY0YjczMjJhZmMwYTI4YTE0MjhjMiZYLUFtei1TaWduZWRIZWFkZXJzPWhvc3QifQ.jh3zeCLfOyZB1drXdsE-QEBLQOLKW4vrvi_zWM6DLVs"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data.esante.gouv.fr/ansm/medicamen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baseColWidth="10" defaultColWidth="12.5703125" defaultRowHeight="15.75" customHeight="1"/>
  <sheetData>
    <row r="2" ht="15.75" customHeight="1">
      <c r="A2" s="1" t="s">
        <v>0</v>
      </c>
      <c r="B2" s="2" t="s">
        <v>1</v>
      </c>
      <c r="C2" s="3" t="s">
        <v>2</v>
      </c>
    </row>
    <row r="3" ht="12.75">
      <c r="A3" s="1" t="s">
        <v>0</v>
      </c>
      <c r="B3" s="2" t="s">
        <v>3</v>
      </c>
      <c r="C3" s="4" t="s">
        <v>4</v>
      </c>
    </row>
    <row r="4" ht="12.75">
      <c r="A4" s="1" t="s">
        <v>0</v>
      </c>
      <c r="B4" s="2" t="s">
        <v>5</v>
      </c>
      <c r="C4" s="4" t="s">
        <v>6</v>
      </c>
    </row>
    <row r="5" ht="12.75">
      <c r="A5" s="1" t="s">
        <v>0</v>
      </c>
      <c r="B5" s="2" t="s">
        <v>7</v>
      </c>
      <c r="C5" s="4" t="s">
        <v>8</v>
      </c>
    </row>
    <row r="6" ht="12.75">
      <c r="A6" s="1" t="s">
        <v>0</v>
      </c>
      <c r="B6" s="2" t="s">
        <v>9</v>
      </c>
      <c r="C6" s="5" t="s">
        <v>10</v>
      </c>
    </row>
    <row r="7" ht="15.75" customHeight="1">
      <c r="A7" s="1" t="s">
        <v>11</v>
      </c>
      <c r="B7" s="3" t="s">
        <v>12</v>
      </c>
    </row>
  </sheetData>
  <hyperlinks>
    <hyperlink r:id="rId1" ref="C2"/>
    <hyperlink r:id="rId2" ref="C3"/>
    <hyperlink r:id="rId3" ref="C4"/>
    <hyperlink r:id="rId4" ref="C5"/>
    <hyperlink r:id="rId5" ref="C6"/>
    <hyperlink r:id="rId6" ref="B7"/>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9.140625" defaultRowHeight="12.75"/>
  <cols>
    <col customWidth="1" min="1" max="1" width="34"/>
    <col customWidth="1" min="2" max="2" width="167.140625"/>
  </cols>
  <sheetData>
    <row r="1">
      <c r="A1" s="1" t="s">
        <v>13</v>
      </c>
      <c r="B1" s="5" t="s">
        <v>14</v>
      </c>
    </row>
    <row r="2">
      <c r="A2" s="1" t="s">
        <v>15</v>
      </c>
      <c r="B2" s="2" t="s">
        <v>16</v>
      </c>
    </row>
    <row r="3">
      <c r="A3" s="1" t="s">
        <v>17</v>
      </c>
      <c r="B3" t="s">
        <v>18</v>
      </c>
    </row>
    <row r="4">
      <c r="A4" s="1" t="s">
        <v>19</v>
      </c>
      <c r="B4" t="s">
        <v>18</v>
      </c>
    </row>
    <row r="5">
      <c r="A5" s="1" t="s">
        <v>20</v>
      </c>
      <c r="B5" s="6" t="s">
        <v>21</v>
      </c>
    </row>
    <row r="6">
      <c r="A6" s="1" t="s">
        <v>22</v>
      </c>
      <c r="B6" s="7">
        <v>44621</v>
      </c>
    </row>
    <row r="7">
      <c r="A7" s="1" t="s">
        <v>23</v>
      </c>
      <c r="B7" s="7">
        <v>45717</v>
      </c>
    </row>
    <row r="8">
      <c r="A8" s="1" t="s">
        <v>24</v>
      </c>
      <c r="B8" t="s">
        <v>25</v>
      </c>
    </row>
    <row r="9" ht="51">
      <c r="A9" s="1" t="s">
        <v>26</v>
      </c>
      <c r="B9" s="8" t="s">
        <v>27</v>
      </c>
    </row>
    <row r="10">
      <c r="A10" s="1" t="s">
        <v>28</v>
      </c>
      <c r="B10" t="s">
        <v>29</v>
      </c>
    </row>
    <row r="11">
      <c r="A11" s="1" t="s">
        <v>30</v>
      </c>
      <c r="B11" s="3" t="s">
        <v>31</v>
      </c>
    </row>
    <row r="12" ht="409.5" customHeight="1">
      <c r="A12" s="1" t="s">
        <v>32</v>
      </c>
      <c r="B12" s="8" t="s">
        <v>33</v>
      </c>
    </row>
    <row r="13">
      <c r="A13" s="1"/>
    </row>
    <row r="14">
      <c r="A14" s="1"/>
    </row>
    <row r="15">
      <c r="A15" s="1"/>
    </row>
    <row r="16">
      <c r="A16" s="1"/>
    </row>
    <row r="17">
      <c r="A17" s="1"/>
    </row>
    <row r="18">
      <c r="A18" s="1"/>
    </row>
    <row r="19">
      <c r="A19" s="1"/>
    </row>
    <row r="20">
      <c r="A20" s="1"/>
    </row>
    <row r="21">
      <c r="A21" s="1"/>
    </row>
    <row r="22">
      <c r="A22" s="1"/>
    </row>
    <row r="23">
      <c r="A23" s="1"/>
    </row>
    <row r="24">
      <c r="A24" s="1"/>
    </row>
    <row r="25">
      <c r="A25" s="1"/>
    </row>
    <row r="26">
      <c r="A26" s="1"/>
    </row>
    <row r="27">
      <c r="A27" s="1"/>
    </row>
    <row r="28">
      <c r="A28" s="1"/>
    </row>
  </sheetData>
  <hyperlinks>
    <hyperlink r:id="rId1" ref="B1"/>
    <hyperlink r:id="rId2" ref="B1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1" zoomScale="100" workbookViewId="0">
      <pane xSplit="1" topLeftCell="B1" activePane="topRight" state="frozen"/>
      <selection activeCell="A1" activeCellId="0" sqref="A1"/>
    </sheetView>
  </sheetViews>
  <sheetFormatPr baseColWidth="10" defaultColWidth="12.5703125" defaultRowHeight="15.75" customHeight="1"/>
  <cols>
    <col customWidth="1" min="1" max="1" width="42.140625"/>
    <col customWidth="1" min="2" max="2" width="27.85546875"/>
    <col customWidth="1" min="3" max="3" width="105"/>
    <col customWidth="1" min="4" max="5" width="21.7109375"/>
    <col customWidth="1" min="6" max="7" width="25.28515625"/>
    <col customWidth="1" min="8" max="8" style="8" width="21.7109375"/>
    <col customWidth="1" min="9" max="9" style="9" width="34.85546875"/>
    <col customWidth="1" min="10" max="10" style="10" width="79"/>
    <col customWidth="1" min="11" max="12" width="22.5703125"/>
    <col customWidth="1" min="13" max="13" width="24.28515625"/>
    <col customWidth="1" min="14" max="14" width="24.85546875"/>
    <col customWidth="1" min="15" max="15" width="15.42578125"/>
    <col customWidth="1" min="16" max="16" width="27.42578125"/>
    <col customWidth="1" min="17" max="17" width="62.28515625"/>
    <col customWidth="1" min="18" max="18" width="18.28515625"/>
    <col customWidth="1" min="19" max="19" width="22.42578125"/>
  </cols>
  <sheetData>
    <row r="1" ht="12.75">
      <c r="A1" s="1" t="s">
        <v>13</v>
      </c>
      <c r="B1" s="5" t="str">
        <f>Metadata!B1</f>
        <v>http://data.esante.gouv.fr/ansm/medicament</v>
      </c>
      <c r="C1" s="5"/>
      <c r="D1" s="11"/>
      <c r="M1" s="8"/>
      <c r="N1" s="8"/>
    </row>
    <row r="2" ht="12.75">
      <c r="A2" s="1" t="s">
        <v>15</v>
      </c>
      <c r="B2" s="2" t="s">
        <v>16</v>
      </c>
      <c r="C2" s="2"/>
      <c r="D2" s="2"/>
      <c r="M2" s="8"/>
      <c r="N2" s="8"/>
    </row>
    <row r="3" ht="12.75">
      <c r="A3" s="1"/>
      <c r="B3" s="5"/>
      <c r="C3" s="5"/>
      <c r="D3" s="2"/>
      <c r="M3" s="8"/>
      <c r="N3" s="8"/>
    </row>
    <row r="4" ht="12.75">
      <c r="A4" s="1"/>
      <c r="B4" s="4"/>
      <c r="C4" s="4"/>
      <c r="D4" s="11"/>
      <c r="M4" s="8"/>
      <c r="N4" s="8"/>
    </row>
    <row r="5" ht="12.75">
      <c r="A5" s="1"/>
      <c r="B5" s="5"/>
      <c r="C5" s="5"/>
      <c r="D5" s="11"/>
      <c r="E5" s="2"/>
      <c r="F5" s="2"/>
      <c r="G5" s="2"/>
      <c r="H5" s="8"/>
      <c r="I5" s="9"/>
      <c r="J5" s="10"/>
      <c r="K5" s="2"/>
      <c r="L5" s="2"/>
      <c r="M5" s="8"/>
      <c r="N5" s="8"/>
      <c r="O5" s="2"/>
      <c r="P5" s="2"/>
      <c r="Q5" s="2"/>
      <c r="R5" s="2"/>
      <c r="S5" s="2"/>
      <c r="T5" s="2"/>
      <c r="U5" s="2"/>
      <c r="V5" s="2"/>
      <c r="W5" s="2"/>
      <c r="X5" s="2"/>
      <c r="Y5" s="2"/>
      <c r="Z5" s="2"/>
      <c r="AA5" s="2"/>
      <c r="AB5" s="2"/>
      <c r="AC5" s="2"/>
      <c r="AD5" s="2"/>
      <c r="AE5" s="2"/>
      <c r="AF5" s="2"/>
      <c r="AG5" s="2"/>
    </row>
    <row r="6" ht="12.75">
      <c r="B6" s="8"/>
      <c r="C6" s="8"/>
      <c r="D6" s="8"/>
      <c r="M6" s="8"/>
      <c r="N6" s="8"/>
    </row>
    <row r="7" ht="12.75">
      <c r="B7" s="8"/>
      <c r="C7" s="8"/>
      <c r="D7" s="8"/>
      <c r="M7" s="8"/>
      <c r="N7" s="8"/>
    </row>
    <row r="8" ht="25.5">
      <c r="A8" s="12" t="s">
        <v>34</v>
      </c>
      <c r="B8" s="13" t="s">
        <v>17</v>
      </c>
      <c r="C8" s="13" t="s">
        <v>35</v>
      </c>
      <c r="D8" s="13" t="s">
        <v>36</v>
      </c>
      <c r="E8" s="12" t="s">
        <v>37</v>
      </c>
      <c r="F8" s="12" t="s">
        <v>38</v>
      </c>
      <c r="G8" s="13" t="s">
        <v>39</v>
      </c>
      <c r="H8" s="13" t="s">
        <v>30</v>
      </c>
      <c r="I8" s="14" t="s">
        <v>40</v>
      </c>
      <c r="J8" s="15" t="s">
        <v>41</v>
      </c>
      <c r="K8" s="12" t="s">
        <v>42</v>
      </c>
      <c r="L8" s="12" t="s">
        <v>43</v>
      </c>
      <c r="M8" s="13" t="s">
        <v>44</v>
      </c>
      <c r="N8" s="13" t="s">
        <v>45</v>
      </c>
      <c r="O8" s="12" t="s">
        <v>46</v>
      </c>
      <c r="P8" s="12" t="s">
        <v>47</v>
      </c>
      <c r="Q8" s="12" t="s">
        <v>48</v>
      </c>
      <c r="R8" s="12" t="s">
        <v>49</v>
      </c>
      <c r="S8" s="12" t="s">
        <v>30</v>
      </c>
      <c r="T8" s="12"/>
      <c r="U8" s="12"/>
      <c r="V8" s="12"/>
      <c r="W8" s="12"/>
      <c r="X8" s="12"/>
      <c r="Y8" s="12"/>
      <c r="Z8" s="12"/>
      <c r="AA8" s="12"/>
      <c r="AB8" s="12"/>
      <c r="AC8" s="12"/>
      <c r="AD8" s="12"/>
      <c r="AE8" s="12"/>
      <c r="AF8" s="12"/>
      <c r="AG8" s="12"/>
    </row>
    <row r="9" ht="16.5">
      <c r="A9" s="16" t="s">
        <v>50</v>
      </c>
      <c r="B9" s="17"/>
      <c r="C9" s="17"/>
      <c r="D9" s="17"/>
      <c r="E9" s="16"/>
      <c r="F9" s="16"/>
      <c r="G9" s="16"/>
      <c r="H9" s="17"/>
      <c r="I9" s="18"/>
      <c r="J9" s="19"/>
      <c r="K9" s="16"/>
      <c r="L9" s="16"/>
      <c r="M9" s="17"/>
      <c r="N9" s="17"/>
      <c r="O9" s="16"/>
      <c r="P9" s="16"/>
      <c r="Q9" s="16"/>
      <c r="R9" s="16"/>
      <c r="S9" s="16"/>
      <c r="T9" s="16"/>
      <c r="U9" s="16"/>
      <c r="V9" s="16"/>
      <c r="W9" s="16"/>
      <c r="X9" s="16"/>
      <c r="Y9" s="16"/>
      <c r="Z9" s="16"/>
      <c r="AA9" s="16"/>
      <c r="AB9" s="16"/>
      <c r="AC9" s="16"/>
      <c r="AD9" s="16"/>
      <c r="AE9" s="16"/>
      <c r="AF9" s="16"/>
      <c r="AG9" s="16"/>
    </row>
    <row r="10" ht="393.75" customHeight="1">
      <c r="A10" s="2" t="s">
        <v>51</v>
      </c>
      <c r="B10" s="8" t="s">
        <v>52</v>
      </c>
      <c r="C10" s="8" t="s">
        <v>53</v>
      </c>
      <c r="D10" s="8"/>
      <c r="E10" s="2" t="s">
        <v>54</v>
      </c>
      <c r="F10" s="2" t="s">
        <v>55</v>
      </c>
      <c r="G10" s="2"/>
      <c r="H10" s="20" t="s">
        <v>56</v>
      </c>
      <c r="I10" s="9"/>
      <c r="J10" s="10"/>
      <c r="K10" s="2" t="b">
        <v>1</v>
      </c>
      <c r="L10" s="2"/>
      <c r="M10" s="8"/>
      <c r="N10" s="8" t="s">
        <v>57</v>
      </c>
      <c r="O10" s="2" t="s">
        <v>58</v>
      </c>
      <c r="P10" t="s">
        <v>59</v>
      </c>
      <c r="Q10" t="str">
        <f>IF(NOT(ISBLANK(P10)),CONCATENATE("""^",$B$1,"/",P10,"$"""),"")</f>
        <v>"^http://data.esante.gouv.fr/ansm/medicament/SpecialitePharmaceutique_.*$"</v>
      </c>
      <c r="R10" s="2" t="s">
        <v>60</v>
      </c>
      <c r="S10" s="2"/>
    </row>
    <row r="11" ht="178.5">
      <c r="A11" s="2" t="s">
        <v>61</v>
      </c>
      <c r="B11" s="8" t="s">
        <v>62</v>
      </c>
      <c r="C11" s="8" t="s">
        <v>63</v>
      </c>
      <c r="D11" s="8">
        <f t="shared" ref="D11:D52" si="0">ROW(A11)</f>
        <v>11</v>
      </c>
      <c r="E11" s="2" t="s">
        <v>54</v>
      </c>
      <c r="F11" s="2" t="s">
        <v>64</v>
      </c>
      <c r="G11" s="2"/>
      <c r="H11" s="20" t="s">
        <v>56</v>
      </c>
      <c r="I11" s="9"/>
      <c r="J11" s="10"/>
      <c r="K11" s="2" t="b">
        <v>1</v>
      </c>
      <c r="L11" s="2"/>
      <c r="M11" s="8"/>
      <c r="N11" s="8" t="s">
        <v>57</v>
      </c>
      <c r="O11" s="2" t="s">
        <v>58</v>
      </c>
      <c r="P11" t="s">
        <v>65</v>
      </c>
      <c r="Q11" t="str">
        <f>IF(NOT(ISBLANK(P11)),CONCATENATE("""^",$B$1,"/",P11,"$"""),"")</f>
        <v>"^http://data.esante.gouv.fr/ansm/medicament/Presentation_.*$"</v>
      </c>
      <c r="R11" s="2" t="s">
        <v>66</v>
      </c>
    </row>
    <row r="12" ht="76.5">
      <c r="A12" s="2" t="s">
        <v>67</v>
      </c>
      <c r="B12" s="8" t="s">
        <v>68</v>
      </c>
      <c r="C12" s="8" t="s">
        <v>69</v>
      </c>
      <c r="D12" s="8">
        <f t="shared" si="0"/>
        <v>12</v>
      </c>
      <c r="E12" s="2" t="s">
        <v>54</v>
      </c>
      <c r="F12" s="2" t="s">
        <v>70</v>
      </c>
      <c r="G12" s="2"/>
      <c r="H12" s="20" t="s">
        <v>56</v>
      </c>
      <c r="I12" s="9"/>
      <c r="J12" s="10"/>
      <c r="K12" s="2" t="b">
        <v>1</v>
      </c>
      <c r="L12" s="2"/>
      <c r="M12" s="8"/>
      <c r="N12" s="8" t="s">
        <v>57</v>
      </c>
      <c r="O12" s="2" t="s">
        <v>58</v>
      </c>
      <c r="P12" t="s">
        <v>71</v>
      </c>
      <c r="Q12" t="str">
        <f>IF(NOT(ISBLANK(P12)),CONCATENATE("""^",$B$1,"/",P12,"$"""),"")</f>
        <v>"^http://data.esante.gouv.fr/ansm/medicament/UCD_.*$"</v>
      </c>
      <c r="R12" s="2" t="s">
        <v>72</v>
      </c>
    </row>
    <row r="13" ht="63.75">
      <c r="A13" s="2" t="s">
        <v>73</v>
      </c>
      <c r="B13" s="8" t="s">
        <v>74</v>
      </c>
      <c r="C13" s="8" t="s">
        <v>75</v>
      </c>
      <c r="D13" s="8">
        <f t="shared" si="0"/>
        <v>13</v>
      </c>
      <c r="E13" s="2" t="s">
        <v>54</v>
      </c>
      <c r="F13" s="2" t="s">
        <v>76</v>
      </c>
      <c r="G13" s="2"/>
      <c r="H13" s="8"/>
      <c r="I13" s="9"/>
      <c r="J13" s="10"/>
      <c r="K13" s="2" t="b">
        <v>1</v>
      </c>
      <c r="L13" s="2"/>
      <c r="M13" s="8"/>
      <c r="N13" s="8" t="s">
        <v>57</v>
      </c>
      <c r="O13" s="2" t="s">
        <v>58</v>
      </c>
      <c r="P13" t="s">
        <v>77</v>
      </c>
      <c r="Q13" t="str">
        <f>IF(NOT(ISBLANK(P13)),CONCATENATE("""^",$B$1,"/",P13,"$"""),"")</f>
        <v>"^http://data.esante.gouv.fr/ansm/medicament/GroupeGenerique_.*$"</v>
      </c>
      <c r="R13" s="2" t="s">
        <v>60</v>
      </c>
    </row>
    <row r="14" ht="89.25">
      <c r="A14" s="2" t="s">
        <v>78</v>
      </c>
      <c r="B14" s="8" t="s">
        <v>79</v>
      </c>
      <c r="C14" s="8" t="s">
        <v>80</v>
      </c>
      <c r="D14" s="8">
        <f t="shared" si="0"/>
        <v>14</v>
      </c>
      <c r="E14" s="2" t="s">
        <v>54</v>
      </c>
      <c r="F14" s="2" t="s">
        <v>81</v>
      </c>
      <c r="G14" s="2"/>
      <c r="H14" s="20" t="s">
        <v>82</v>
      </c>
      <c r="I14" s="9"/>
      <c r="J14" s="10"/>
      <c r="K14" s="2" t="b">
        <v>1</v>
      </c>
      <c r="L14" s="2"/>
      <c r="M14" s="8"/>
      <c r="N14" s="8" t="s">
        <v>57</v>
      </c>
      <c r="O14" s="2" t="s">
        <v>58</v>
      </c>
      <c r="P14" t="s">
        <v>83</v>
      </c>
      <c r="Q14" t="str">
        <f>IF(NOT(ISBLANK(P14)),CONCATENATE("""^",$B$1,"/",P14,"$"""),"")</f>
        <v>"^http://data.esante.gouv.fr/ansm/medicament/Element_.*$"</v>
      </c>
      <c r="R14" s="2" t="s">
        <v>84</v>
      </c>
      <c r="S14" s="2"/>
    </row>
    <row r="15" ht="127.5">
      <c r="A15" s="2" t="s">
        <v>85</v>
      </c>
      <c r="B15" s="8" t="s">
        <v>86</v>
      </c>
      <c r="C15" s="8" t="s">
        <v>87</v>
      </c>
      <c r="D15" s="8">
        <f t="shared" si="0"/>
        <v>15</v>
      </c>
      <c r="E15" s="2" t="s">
        <v>54</v>
      </c>
      <c r="F15" s="2" t="s">
        <v>88</v>
      </c>
      <c r="G15" s="2"/>
      <c r="H15" s="20" t="s">
        <v>82</v>
      </c>
      <c r="I15" s="9"/>
      <c r="J15" s="10"/>
      <c r="K15" s="2" t="b">
        <v>1</v>
      </c>
      <c r="L15" s="2"/>
      <c r="M15" s="8"/>
      <c r="N15" s="8" t="s">
        <v>57</v>
      </c>
      <c r="O15" s="2" t="s">
        <v>58</v>
      </c>
      <c r="P15" t="s">
        <v>89</v>
      </c>
      <c r="Q15" t="str">
        <f>IF(NOT(ISBLANK(P15)),CONCATENATE("""^",$B$1,"/",P15,"$"""),"")</f>
        <v>"^http://data.esante.gouv.fr/ansm/medicament/ElementPresentation_.*$"</v>
      </c>
      <c r="R15" s="2" t="s">
        <v>84</v>
      </c>
      <c r="S15" s="2"/>
    </row>
    <row r="16" ht="16.5">
      <c r="A16" s="21" t="s">
        <v>90</v>
      </c>
      <c r="B16" s="22"/>
      <c r="C16" s="22"/>
      <c r="D16" s="22"/>
      <c r="E16" s="23"/>
      <c r="F16" s="23"/>
      <c r="G16" s="23"/>
      <c r="H16" s="22"/>
      <c r="I16" s="9"/>
      <c r="J16" s="10"/>
      <c r="K16" s="23"/>
      <c r="L16" s="23"/>
      <c r="M16" s="22"/>
      <c r="N16" s="22"/>
      <c r="O16" s="23"/>
      <c r="P16" s="23"/>
      <c r="Q16" s="23"/>
      <c r="R16" s="23"/>
      <c r="S16" s="23"/>
      <c r="T16" s="23"/>
      <c r="U16" s="23"/>
      <c r="V16" s="23"/>
      <c r="W16" s="23"/>
      <c r="X16" s="23"/>
      <c r="Y16" s="23"/>
      <c r="Z16" s="23"/>
      <c r="AA16" s="23"/>
      <c r="AB16" s="23"/>
      <c r="AC16" s="23"/>
      <c r="AD16" s="23"/>
      <c r="AE16" s="23"/>
      <c r="AF16" s="23"/>
      <c r="AG16" s="23"/>
    </row>
    <row r="17" ht="63.75">
      <c r="A17" s="2" t="s">
        <v>91</v>
      </c>
      <c r="B17" s="8" t="s">
        <v>92</v>
      </c>
      <c r="C17" s="8" t="s">
        <v>93</v>
      </c>
      <c r="D17" s="8">
        <f t="shared" si="0"/>
        <v>17</v>
      </c>
      <c r="E17" s="2" t="s">
        <v>54</v>
      </c>
      <c r="F17" s="2" t="s">
        <v>94</v>
      </c>
      <c r="G17" s="2"/>
      <c r="H17" s="20" t="s">
        <v>82</v>
      </c>
      <c r="I17" s="9"/>
      <c r="J17" s="10"/>
      <c r="K17" s="2" t="b">
        <v>1</v>
      </c>
      <c r="L17" s="2"/>
      <c r="M17" s="8"/>
      <c r="N17" s="8" t="s">
        <v>57</v>
      </c>
      <c r="O17" s="2" t="s">
        <v>58</v>
      </c>
      <c r="P17" t="s">
        <v>95</v>
      </c>
      <c r="Q17" t="str">
        <f>IF(NOT(ISBLANK(P17)),CONCATENATE("""^",$B$1,"/",P17,"$"""),"")</f>
        <v>"^http://data.esante.gouv.fr/ansm/medicament/Dosage_.*$"</v>
      </c>
      <c r="R17" s="2">
        <v>808080</v>
      </c>
    </row>
    <row r="18" ht="102">
      <c r="A18" s="2" t="s">
        <v>96</v>
      </c>
      <c r="B18" s="8" t="s">
        <v>97</v>
      </c>
      <c r="C18" s="8" t="s">
        <v>98</v>
      </c>
      <c r="D18" s="8">
        <f t="shared" si="0"/>
        <v>18</v>
      </c>
      <c r="E18" s="2" t="s">
        <v>54</v>
      </c>
      <c r="F18" s="2" t="s">
        <v>99</v>
      </c>
      <c r="G18" s="2"/>
      <c r="H18" s="20" t="s">
        <v>82</v>
      </c>
      <c r="I18" s="9"/>
      <c r="J18" s="10"/>
      <c r="K18" s="2" t="b">
        <v>1</v>
      </c>
      <c r="L18" s="2"/>
      <c r="M18" s="8"/>
      <c r="N18" s="8" t="s">
        <v>57</v>
      </c>
      <c r="O18" s="2" t="s">
        <v>58</v>
      </c>
      <c r="P18" t="s">
        <v>95</v>
      </c>
      <c r="Q18" t="str">
        <f>IF(NOT(ISBLANK(P18)),CONCATENATE("""^",$B$1,"/",P18,"$"""),"")</f>
        <v>"^http://data.esante.gouv.fr/ansm/medicament/Dosage_.*$"</v>
      </c>
      <c r="R18" s="2">
        <v>808080</v>
      </c>
    </row>
    <row r="19" ht="38.25">
      <c r="A19" s="2" t="s">
        <v>100</v>
      </c>
      <c r="B19" s="8" t="s">
        <v>101</v>
      </c>
      <c r="C19" s="8" t="s">
        <v>102</v>
      </c>
      <c r="D19" s="8">
        <f t="shared" si="0"/>
        <v>19</v>
      </c>
      <c r="E19" s="2" t="s">
        <v>54</v>
      </c>
      <c r="F19" s="2"/>
      <c r="G19" s="2"/>
      <c r="H19" s="8"/>
      <c r="I19" s="9"/>
      <c r="J19" s="10"/>
      <c r="K19" s="2" t="b">
        <v>1</v>
      </c>
      <c r="L19" s="2"/>
      <c r="M19" s="8"/>
      <c r="N19" s="8" t="s">
        <v>57</v>
      </c>
      <c r="O19" s="2" t="s">
        <v>58</v>
      </c>
      <c r="P19" t="s">
        <v>103</v>
      </c>
      <c r="Q19" t="str">
        <f>IF(NOT(ISBLANK(P19)),CONCATENATE("""^",$B$1,"/",P19,"$"""),"")</f>
        <v>"^http://data.esante.gouv.fr/ansm/medicament/Unite_.*$"</v>
      </c>
      <c r="R19" s="2">
        <v>808080</v>
      </c>
    </row>
    <row r="20" ht="255">
      <c r="A20" s="2" t="s">
        <v>104</v>
      </c>
      <c r="B20" s="8" t="s">
        <v>105</v>
      </c>
      <c r="C20" s="8" t="s">
        <v>106</v>
      </c>
      <c r="D20" s="8">
        <f t="shared" si="0"/>
        <v>20</v>
      </c>
      <c r="E20" s="2" t="s">
        <v>54</v>
      </c>
      <c r="F20" s="2" t="s">
        <v>107</v>
      </c>
      <c r="G20" s="2"/>
      <c r="H20" s="20" t="s">
        <v>82</v>
      </c>
      <c r="I20" s="9"/>
      <c r="J20" s="10"/>
      <c r="K20" s="2" t="b">
        <v>1</v>
      </c>
      <c r="L20" s="2"/>
      <c r="M20" s="8"/>
      <c r="N20" s="8" t="s">
        <v>57</v>
      </c>
      <c r="O20" s="2" t="s">
        <v>58</v>
      </c>
      <c r="P20" t="s">
        <v>108</v>
      </c>
      <c r="Q20" t="str">
        <f>IF(NOT(ISBLANK(P20)),CONCATENATE("""^",$B$1,"/",P20,"$"""),"")</f>
        <v>"^http://data.esante.gouv.fr/ansm/medicament/ExpressionDeDosage_.*$"</v>
      </c>
      <c r="R20" s="2">
        <v>808080</v>
      </c>
      <c r="S20" s="2"/>
    </row>
    <row r="21" ht="16.5">
      <c r="A21" s="24" t="s">
        <v>109</v>
      </c>
      <c r="B21" s="25"/>
      <c r="C21" s="25"/>
      <c r="D21" s="25"/>
      <c r="E21" s="26"/>
      <c r="F21" s="26"/>
      <c r="G21" s="26"/>
      <c r="H21" s="25"/>
      <c r="I21" s="9"/>
      <c r="J21" s="10"/>
      <c r="K21" s="25"/>
      <c r="L21" s="25"/>
      <c r="M21" s="25"/>
      <c r="N21" s="27"/>
      <c r="O21" s="26"/>
      <c r="P21" s="26"/>
      <c r="Q21" s="26"/>
      <c r="R21" s="26"/>
      <c r="S21" s="25"/>
      <c r="T21" s="26"/>
      <c r="U21" s="26"/>
      <c r="V21" s="26"/>
      <c r="W21" s="26"/>
      <c r="X21" s="26"/>
      <c r="Y21" s="26"/>
      <c r="Z21" s="26"/>
      <c r="AA21" s="26"/>
      <c r="AB21" s="26"/>
      <c r="AC21" s="26"/>
      <c r="AD21" s="26"/>
      <c r="AE21" s="26"/>
      <c r="AF21" s="26"/>
    </row>
    <row r="22" ht="38.25">
      <c r="A22" s="2" t="s">
        <v>110</v>
      </c>
      <c r="B22" s="8" t="s">
        <v>111</v>
      </c>
      <c r="C22" s="8" t="s">
        <v>112</v>
      </c>
      <c r="D22" s="8">
        <f t="shared" si="0"/>
        <v>22</v>
      </c>
      <c r="E22" s="2" t="s">
        <v>54</v>
      </c>
      <c r="F22" s="2"/>
      <c r="G22" s="2"/>
      <c r="H22" s="8"/>
      <c r="I22" s="9"/>
      <c r="J22" s="10"/>
      <c r="K22" s="2" t="b">
        <v>1</v>
      </c>
      <c r="L22" s="2"/>
      <c r="M22" s="8"/>
      <c r="N22" s="8" t="s">
        <v>57</v>
      </c>
      <c r="O22" s="2" t="s">
        <v>58</v>
      </c>
      <c r="P22" t="s">
        <v>113</v>
      </c>
      <c r="Q22" t="str">
        <f>IF(NOT(ISBLANK(P22)),CONCATENATE("""^",$B$1,"/",P22,"$"""),"")</f>
        <v>"^http://data.esante.gouv.fr/ansm/medicament/Organisation_.*$"</v>
      </c>
      <c r="R22" s="2" t="s">
        <v>114</v>
      </c>
      <c r="S22" s="2"/>
    </row>
    <row r="23" ht="16.5">
      <c r="A23" s="24" t="s">
        <v>115</v>
      </c>
      <c r="B23" s="25"/>
      <c r="C23" s="25"/>
      <c r="D23" s="25"/>
      <c r="E23" s="26"/>
      <c r="F23" s="26"/>
      <c r="G23" s="26"/>
      <c r="H23" s="25"/>
      <c r="I23" s="9"/>
      <c r="J23" s="10"/>
      <c r="K23" s="25"/>
      <c r="L23" s="25"/>
      <c r="M23" s="25"/>
      <c r="N23" s="27"/>
      <c r="O23" s="26"/>
      <c r="P23" s="26"/>
      <c r="Q23" s="26"/>
      <c r="R23" s="26"/>
      <c r="S23" s="25"/>
      <c r="T23" s="26"/>
      <c r="U23" s="26"/>
      <c r="V23" s="26"/>
      <c r="W23" s="26"/>
      <c r="X23" s="26"/>
      <c r="Y23" s="26"/>
      <c r="Z23" s="26"/>
      <c r="AA23" s="26"/>
      <c r="AB23" s="26"/>
      <c r="AC23" s="26"/>
      <c r="AD23" s="26"/>
      <c r="AE23" s="26"/>
      <c r="AF23" s="26"/>
    </row>
    <row r="24" ht="51">
      <c r="A24" s="2" t="s">
        <v>116</v>
      </c>
      <c r="B24" s="8" t="s">
        <v>117</v>
      </c>
      <c r="C24" s="8" t="s">
        <v>118</v>
      </c>
      <c r="D24" s="8">
        <f t="shared" si="0"/>
        <v>24</v>
      </c>
      <c r="E24" s="2" t="s">
        <v>54</v>
      </c>
      <c r="F24" s="2"/>
      <c r="G24" s="2"/>
      <c r="H24" s="8" t="s">
        <v>56</v>
      </c>
      <c r="I24" s="9"/>
      <c r="J24" s="10"/>
      <c r="K24" s="2" t="b">
        <v>1</v>
      </c>
      <c r="L24" s="2"/>
      <c r="M24" s="8"/>
      <c r="N24" s="8" t="s">
        <v>57</v>
      </c>
      <c r="O24" s="2" t="s">
        <v>58</v>
      </c>
      <c r="P24" s="2" t="s">
        <v>119</v>
      </c>
      <c r="Q24" t="str">
        <f>IF(NOT(ISBLANK(P24)),CONCATENATE("""^",$B$1,"/",P24,"$"""),"")</f>
        <v>"^http://data.esante.gouv.fr/ansm/medicament/Substance_.*$"</v>
      </c>
      <c r="R24" s="2" t="s">
        <v>114</v>
      </c>
      <c r="S24" s="2"/>
    </row>
    <row r="25" ht="38.25">
      <c r="A25" s="2" t="s">
        <v>120</v>
      </c>
      <c r="B25" s="8" t="s">
        <v>121</v>
      </c>
      <c r="C25" s="8"/>
      <c r="D25" s="8">
        <f t="shared" si="0"/>
        <v>25</v>
      </c>
      <c r="E25" s="2" t="s">
        <v>54</v>
      </c>
      <c r="F25" s="2"/>
      <c r="G25" s="2"/>
      <c r="H25" s="8"/>
      <c r="I25" s="9"/>
      <c r="J25" s="10"/>
      <c r="K25" s="2" t="b">
        <v>1</v>
      </c>
      <c r="L25" s="2"/>
      <c r="M25" s="8"/>
      <c r="N25" s="8" t="s">
        <v>57</v>
      </c>
      <c r="O25" s="2" t="s">
        <v>58</v>
      </c>
      <c r="P25" s="2" t="s">
        <v>122</v>
      </c>
      <c r="Q25" t="str">
        <f>IF(NOT(ISBLANK(P25)),CONCATENATE("""^",$B$1,"/",P25,"$"""),"")</f>
        <v>"^http://data.esante.gouv.fr/ansm/medicament/Voie_.*$"</v>
      </c>
      <c r="R25" s="2" t="s">
        <v>114</v>
      </c>
    </row>
    <row r="26" ht="38.25">
      <c r="A26" s="2" t="s">
        <v>123</v>
      </c>
      <c r="B26" s="8" t="s">
        <v>124</v>
      </c>
      <c r="C26" s="8" t="s">
        <v>125</v>
      </c>
      <c r="D26" s="8">
        <f t="shared" si="0"/>
        <v>26</v>
      </c>
      <c r="E26" s="2" t="s">
        <v>54</v>
      </c>
      <c r="F26" s="2"/>
      <c r="G26" s="2"/>
      <c r="H26" s="8"/>
      <c r="I26" s="9"/>
      <c r="J26" s="10"/>
      <c r="K26" s="2" t="b">
        <v>1</v>
      </c>
      <c r="L26" s="2"/>
      <c r="M26" s="8"/>
      <c r="N26" s="8" t="s">
        <v>57</v>
      </c>
      <c r="O26" s="2" t="s">
        <v>58</v>
      </c>
      <c r="P26" s="2" t="s">
        <v>126</v>
      </c>
      <c r="Q26" t="str">
        <f>IF(NOT(ISBLANK(P26)),CONCATENATE("""^",$B$1,"/",P26,"$"""),"")</f>
        <v>"^http://data.esante.gouv.fr/ansm/medicament/Forme_.*$"</v>
      </c>
      <c r="R26" s="2" t="s">
        <v>114</v>
      </c>
    </row>
    <row r="27" ht="38.25">
      <c r="A27" s="2" t="s">
        <v>127</v>
      </c>
      <c r="B27" s="8" t="s">
        <v>128</v>
      </c>
      <c r="C27" s="8"/>
      <c r="D27" s="8">
        <f t="shared" si="0"/>
        <v>27</v>
      </c>
      <c r="E27" s="2" t="s">
        <v>54</v>
      </c>
      <c r="F27" s="2"/>
      <c r="G27" s="2"/>
      <c r="H27" s="8"/>
      <c r="I27" s="9"/>
      <c r="J27" s="10"/>
      <c r="K27" s="2" t="b">
        <v>1</v>
      </c>
      <c r="L27" s="2"/>
      <c r="M27" s="8"/>
      <c r="N27" s="8" t="s">
        <v>57</v>
      </c>
      <c r="O27" s="2" t="s">
        <v>58</v>
      </c>
      <c r="P27" s="2" t="s">
        <v>129</v>
      </c>
      <c r="Q27" t="str">
        <f>IF(NOT(ISBLANK(P27)),CONCATENATE("""^",$B$1,"/",P27,"$"""),"")</f>
        <v>"^http://data.esante.gouv.fr/ansm/medicament/UniteDePresentation_.*$"</v>
      </c>
      <c r="R27" s="2" t="s">
        <v>114</v>
      </c>
    </row>
    <row r="28" ht="38.25">
      <c r="A28" s="2" t="s">
        <v>130</v>
      </c>
      <c r="B28" s="8" t="s">
        <v>131</v>
      </c>
      <c r="C28" s="8" t="s">
        <v>132</v>
      </c>
      <c r="D28" s="8">
        <f t="shared" si="0"/>
        <v>28</v>
      </c>
      <c r="E28" s="2" t="s">
        <v>54</v>
      </c>
      <c r="F28" s="2"/>
      <c r="G28" s="2"/>
      <c r="H28" s="8"/>
      <c r="I28" s="9"/>
      <c r="J28" s="10"/>
      <c r="K28" s="2" t="b">
        <v>1</v>
      </c>
      <c r="L28" s="2"/>
      <c r="M28" s="8"/>
      <c r="N28" s="8" t="s">
        <v>57</v>
      </c>
      <c r="O28" s="2" t="s">
        <v>58</v>
      </c>
      <c r="P28" s="2" t="s">
        <v>133</v>
      </c>
      <c r="Q28" t="str">
        <f>IF(NOT(ISBLANK(P28)),CONCATENATE("""^",$B$1,"/",P28,"$"""),"")</f>
        <v>"^http://data.esante.gouv.fr/ansm/medicament/Conditionnement_.*$"</v>
      </c>
      <c r="R28" s="2" t="s">
        <v>114</v>
      </c>
    </row>
    <row r="29" ht="38.25">
      <c r="A29" s="2" t="s">
        <v>134</v>
      </c>
      <c r="B29" s="8" t="s">
        <v>135</v>
      </c>
      <c r="C29" s="8" t="s">
        <v>136</v>
      </c>
      <c r="D29" s="8">
        <f t="shared" si="0"/>
        <v>29</v>
      </c>
      <c r="E29" s="2" t="s">
        <v>54</v>
      </c>
      <c r="F29" s="2"/>
      <c r="G29" s="2"/>
      <c r="H29" s="8"/>
      <c r="I29" s="9"/>
      <c r="J29" s="10"/>
      <c r="K29" s="2" t="b">
        <v>1</v>
      </c>
      <c r="L29" s="2"/>
      <c r="M29" s="8"/>
      <c r="N29" s="8" t="s">
        <v>57</v>
      </c>
      <c r="O29" s="2" t="s">
        <v>58</v>
      </c>
      <c r="P29" s="2" t="s">
        <v>137</v>
      </c>
      <c r="Q29" t="str">
        <f>IF(NOT(ISBLANK(P29)),CONCATENATE("""^",$B$1,"/",P29,"$"""),"")</f>
        <v>"^http://data.esante.gouv.fr/ansm/medicament/JustificationNiveauVirtualisation_.*$"</v>
      </c>
      <c r="R29" s="2" t="s">
        <v>114</v>
      </c>
    </row>
    <row r="30" ht="38.25">
      <c r="A30" s="2" t="s">
        <v>138</v>
      </c>
      <c r="B30" s="8" t="s">
        <v>139</v>
      </c>
      <c r="C30" s="8" t="s">
        <v>140</v>
      </c>
      <c r="D30" s="8">
        <f t="shared" si="0"/>
        <v>30</v>
      </c>
      <c r="E30" s="2" t="s">
        <v>54</v>
      </c>
      <c r="F30" s="2"/>
      <c r="G30" s="2"/>
      <c r="H30" s="8"/>
      <c r="I30" s="9"/>
      <c r="J30" s="10"/>
      <c r="K30" s="2" t="b">
        <v>1</v>
      </c>
      <c r="L30" s="2"/>
      <c r="M30" s="8"/>
      <c r="N30" s="8" t="s">
        <v>57</v>
      </c>
      <c r="O30" s="2" t="s">
        <v>58</v>
      </c>
      <c r="P30" s="2" t="s">
        <v>141</v>
      </c>
      <c r="Q30" t="str">
        <f>IF(NOT(ISBLANK(P30)),CONCATENATE("""^",$B$1,"/",P30,"$"""),"")</f>
        <v>"^http://data.esante.gouv.fr/ansm/medicament/JustificationNiveauPrescriptibilite_.*$"</v>
      </c>
      <c r="R30" s="2" t="s">
        <v>114</v>
      </c>
    </row>
    <row r="31" ht="38.25">
      <c r="A31" s="2" t="s">
        <v>142</v>
      </c>
      <c r="B31" s="8" t="s">
        <v>143</v>
      </c>
      <c r="C31" s="8" t="s">
        <v>144</v>
      </c>
      <c r="D31" s="8">
        <f t="shared" si="0"/>
        <v>31</v>
      </c>
      <c r="E31" s="2" t="s">
        <v>54</v>
      </c>
      <c r="F31" s="2"/>
      <c r="G31" s="2"/>
      <c r="H31" s="8"/>
      <c r="I31" s="9"/>
      <c r="J31" s="10"/>
      <c r="K31" s="2" t="b">
        <v>1</v>
      </c>
      <c r="L31" s="2"/>
      <c r="M31" s="8"/>
      <c r="N31" s="8" t="s">
        <v>57</v>
      </c>
      <c r="O31" s="2" t="s">
        <v>58</v>
      </c>
      <c r="P31" s="2" t="s">
        <v>145</v>
      </c>
      <c r="Q31" t="str">
        <f>IF(NOT(ISBLANK(P31)),CONCATENATE("""^",$B$1,"/",P31,"$"""),"")</f>
        <v>"^http://data.esante.gouv.fr/ansm/medicament/NiveauVirtualisation_.*$"</v>
      </c>
      <c r="R31" s="2" t="s">
        <v>114</v>
      </c>
    </row>
    <row r="32" ht="38.25">
      <c r="A32" s="2" t="s">
        <v>146</v>
      </c>
      <c r="B32" s="8" t="s">
        <v>147</v>
      </c>
      <c r="C32" s="8" t="s">
        <v>148</v>
      </c>
      <c r="D32" s="8">
        <f t="shared" si="0"/>
        <v>32</v>
      </c>
      <c r="E32" s="2" t="s">
        <v>54</v>
      </c>
      <c r="F32" s="2"/>
      <c r="G32" s="2"/>
      <c r="H32" s="8"/>
      <c r="I32" s="9"/>
      <c r="J32" s="10"/>
      <c r="K32" s="2" t="b">
        <v>1</v>
      </c>
      <c r="L32" s="2"/>
      <c r="M32" s="8"/>
      <c r="N32" s="8" t="s">
        <v>57</v>
      </c>
      <c r="O32" s="2" t="s">
        <v>58</v>
      </c>
      <c r="P32" s="2" t="s">
        <v>149</v>
      </c>
      <c r="Q32" t="str">
        <f>IF(NOT(ISBLANK(P32)),CONCATENATE("""^",$B$1,"/",P32,"$"""),"")</f>
        <v>"^http://data.esante.gouv.fr/ansm/medicament/NiveauPrescriptibilite_.*$"</v>
      </c>
      <c r="R32" s="2" t="s">
        <v>114</v>
      </c>
    </row>
    <row r="33" ht="38.25">
      <c r="A33" s="2" t="s">
        <v>150</v>
      </c>
      <c r="B33" s="8" t="s">
        <v>151</v>
      </c>
      <c r="C33" s="8" t="s">
        <v>152</v>
      </c>
      <c r="D33" s="8">
        <f t="shared" si="0"/>
        <v>33</v>
      </c>
      <c r="E33" s="2" t="s">
        <v>54</v>
      </c>
      <c r="F33" s="2"/>
      <c r="G33" s="2"/>
      <c r="H33" s="8"/>
      <c r="I33" s="9"/>
      <c r="J33" s="10"/>
      <c r="K33" s="2" t="b">
        <v>1</v>
      </c>
      <c r="L33" s="2"/>
      <c r="M33" s="8"/>
      <c r="N33" s="8" t="s">
        <v>57</v>
      </c>
      <c r="O33" s="2" t="s">
        <v>58</v>
      </c>
      <c r="P33" s="2" t="s">
        <v>153</v>
      </c>
      <c r="Q33" t="str">
        <f>IF(NOT(ISBLANK(P33)),CONCATENATE("""^",$B$1,"/",P33,"$"""),"")</f>
        <v>"^http://data.esante.gouv.fr/ansm/medicament/TypeDose_.*$"</v>
      </c>
      <c r="R33" s="2" t="s">
        <v>114</v>
      </c>
    </row>
    <row r="34" ht="38.25">
      <c r="A34" s="2" t="s">
        <v>154</v>
      </c>
      <c r="B34" s="8" t="s">
        <v>155</v>
      </c>
      <c r="C34" s="8" t="s">
        <v>156</v>
      </c>
      <c r="D34" s="8">
        <f t="shared" si="0"/>
        <v>34</v>
      </c>
      <c r="E34" s="2" t="s">
        <v>54</v>
      </c>
      <c r="F34" s="2"/>
      <c r="G34" s="2"/>
      <c r="H34" s="8"/>
      <c r="I34" s="9"/>
      <c r="J34" s="10"/>
      <c r="K34" s="2" t="b">
        <v>1</v>
      </c>
      <c r="L34" s="2"/>
      <c r="M34" s="8"/>
      <c r="N34" s="8" t="s">
        <v>57</v>
      </c>
      <c r="O34" s="2" t="s">
        <v>58</v>
      </c>
      <c r="P34" s="2" t="s">
        <v>157</v>
      </c>
      <c r="Q34" t="str">
        <f>IF(NOT(ISBLANK(P34)),CONCATENATE("""^",$B$1,"/",P34,"$"""),"")</f>
        <v>"^http://data.esante.gouv.fr/ansm/medicament/Gamme_.*$"</v>
      </c>
      <c r="R34" s="2" t="s">
        <v>114</v>
      </c>
    </row>
    <row r="35" ht="16.5">
      <c r="A35" s="28" t="s">
        <v>158</v>
      </c>
      <c r="B35" s="29"/>
      <c r="C35" s="29"/>
      <c r="D35" s="29"/>
      <c r="E35" s="30"/>
      <c r="F35" s="30"/>
      <c r="G35" s="30"/>
      <c r="H35" s="29"/>
      <c r="I35" s="9"/>
      <c r="J35" s="10"/>
      <c r="K35" s="30"/>
      <c r="L35" s="30"/>
      <c r="M35" s="29"/>
      <c r="N35" s="29"/>
      <c r="O35" s="30"/>
      <c r="P35" s="30"/>
      <c r="Q35" s="30"/>
      <c r="R35" s="30"/>
      <c r="S35" s="30"/>
      <c r="T35" s="30"/>
      <c r="U35" s="30"/>
      <c r="V35" s="30"/>
      <c r="W35" s="30"/>
      <c r="X35" s="30"/>
      <c r="Y35" s="30"/>
      <c r="Z35" s="30"/>
      <c r="AA35" s="30"/>
      <c r="AB35" s="30"/>
      <c r="AC35" s="30"/>
      <c r="AD35" s="30"/>
      <c r="AE35" s="30"/>
      <c r="AF35" s="30"/>
      <c r="AG35" s="30"/>
    </row>
    <row r="36" ht="140.25">
      <c r="A36" s="2" t="s">
        <v>159</v>
      </c>
      <c r="B36" s="8" t="s">
        <v>160</v>
      </c>
      <c r="C36" s="8" t="s">
        <v>161</v>
      </c>
      <c r="D36" s="8">
        <f t="shared" si="0"/>
        <v>36</v>
      </c>
      <c r="E36" s="2" t="s">
        <v>54</v>
      </c>
      <c r="F36" s="2" t="s">
        <v>162</v>
      </c>
      <c r="G36" s="2"/>
      <c r="H36" s="20" t="s">
        <v>163</v>
      </c>
      <c r="I36" s="9"/>
      <c r="J36" s="10"/>
      <c r="K36" s="2" t="b">
        <v>1</v>
      </c>
      <c r="L36" s="2"/>
      <c r="M36" s="8"/>
      <c r="N36" s="8" t="s">
        <v>57</v>
      </c>
      <c r="O36" s="2" t="s">
        <v>58</v>
      </c>
      <c r="P36" t="s">
        <v>164</v>
      </c>
      <c r="Q36" t="str">
        <f>IF(NOT(ISBLANK(P36)),CONCATENATE("""^",$B$1,"/",P36,"$"""),"")</f>
        <v>"^http://data.esante.gouv.fr/ansm/medicament/PrescriptionEnDC_.*$"</v>
      </c>
      <c r="R36" s="2" t="s">
        <v>165</v>
      </c>
    </row>
    <row r="37" ht="16.5">
      <c r="A37" s="31" t="s">
        <v>166</v>
      </c>
      <c r="B37" s="32"/>
      <c r="C37" s="32"/>
      <c r="D37" s="32"/>
      <c r="E37" s="33"/>
      <c r="F37" s="33"/>
      <c r="G37" s="33"/>
      <c r="H37" s="32"/>
      <c r="I37" s="9"/>
      <c r="J37" s="10"/>
      <c r="K37" s="34"/>
      <c r="L37" s="33"/>
      <c r="M37" s="32"/>
      <c r="N37" s="32"/>
      <c r="O37" s="33"/>
      <c r="P37" s="33"/>
      <c r="Q37" s="33"/>
      <c r="R37" s="33"/>
      <c r="S37" s="33"/>
      <c r="T37" s="33"/>
      <c r="U37" s="33"/>
      <c r="V37" s="33"/>
      <c r="W37" s="33"/>
      <c r="X37" s="33"/>
      <c r="Y37" s="33"/>
      <c r="Z37" s="33"/>
      <c r="AA37" s="33"/>
      <c r="AB37" s="33"/>
      <c r="AC37" s="33"/>
      <c r="AD37" s="33"/>
      <c r="AE37" s="33"/>
      <c r="AF37" s="33"/>
    </row>
    <row r="38" ht="38.25">
      <c r="A38" s="2" t="s">
        <v>167</v>
      </c>
      <c r="B38" s="8" t="s">
        <v>168</v>
      </c>
      <c r="C38" s="8" t="s">
        <v>169</v>
      </c>
      <c r="D38" s="8">
        <f t="shared" si="0"/>
        <v>38</v>
      </c>
      <c r="E38" s="2" t="s">
        <v>54</v>
      </c>
      <c r="F38" s="2" t="s">
        <v>170</v>
      </c>
      <c r="G38" s="2"/>
      <c r="H38" s="8" t="s">
        <v>171</v>
      </c>
      <c r="I38" s="9"/>
      <c r="J38" s="10"/>
      <c r="K38" s="2" t="b">
        <v>1</v>
      </c>
      <c r="L38" s="2"/>
      <c r="M38" s="8"/>
      <c r="N38" s="8" t="s">
        <v>57</v>
      </c>
      <c r="O38" s="2" t="s">
        <v>58</v>
      </c>
      <c r="P38" t="s">
        <v>172</v>
      </c>
      <c r="Q38" t="str">
        <f>IF(NOT(ISBLANK(P38)),CONCATENATE("""^",$B$1,"/",P38,"$"""),"")</f>
        <v>"^http://data.esante.gouv.fr/ansm/medicament/PPhParSubstance_.*$"</v>
      </c>
      <c r="R38" s="2" t="s">
        <v>173</v>
      </c>
    </row>
    <row r="39" ht="63.75">
      <c r="A39" s="2" t="s">
        <v>174</v>
      </c>
      <c r="B39" s="8" t="s">
        <v>175</v>
      </c>
      <c r="C39" s="8" t="s">
        <v>176</v>
      </c>
      <c r="D39" s="8">
        <f t="shared" si="0"/>
        <v>39</v>
      </c>
      <c r="E39" s="2" t="s">
        <v>54</v>
      </c>
      <c r="F39" s="2" t="s">
        <v>170</v>
      </c>
      <c r="G39" s="2"/>
      <c r="H39" s="8" t="s">
        <v>171</v>
      </c>
      <c r="I39" s="9"/>
      <c r="J39" s="10"/>
      <c r="K39" s="2" t="b">
        <v>1</v>
      </c>
      <c r="L39" s="2"/>
      <c r="M39" s="8"/>
      <c r="N39" s="8" t="s">
        <v>57</v>
      </c>
      <c r="O39" s="2" t="s">
        <v>58</v>
      </c>
      <c r="P39" s="2" t="s">
        <v>177</v>
      </c>
      <c r="Q39" t="str">
        <f>IF(NOT(ISBLANK(P39)),CONCATENATE("""^",$B$1,"/",P39,"$"""),"")</f>
        <v>"^http://data.esante.gouv.fr/ansm/medicament/PPhParSubstanceDosage_.*$"</v>
      </c>
      <c r="R39" s="2" t="s">
        <v>173</v>
      </c>
    </row>
    <row r="40" ht="51">
      <c r="A40" s="2" t="s">
        <v>178</v>
      </c>
      <c r="B40" s="8" t="s">
        <v>179</v>
      </c>
      <c r="C40" s="8" t="s">
        <v>180</v>
      </c>
      <c r="D40" s="8">
        <f t="shared" si="0"/>
        <v>40</v>
      </c>
      <c r="E40" s="2" t="s">
        <v>54</v>
      </c>
      <c r="F40" s="2" t="s">
        <v>170</v>
      </c>
      <c r="G40" s="2"/>
      <c r="H40" s="8" t="s">
        <v>171</v>
      </c>
      <c r="I40" s="9"/>
      <c r="J40" s="10"/>
      <c r="K40" s="2" t="b">
        <v>1</v>
      </c>
      <c r="L40" s="2"/>
      <c r="M40" s="8"/>
      <c r="N40" s="8" t="s">
        <v>57</v>
      </c>
      <c r="O40" s="2" t="s">
        <v>58</v>
      </c>
      <c r="P40" s="2" t="s">
        <v>181</v>
      </c>
      <c r="Q40" t="str">
        <f>IF(NOT(ISBLANK(P40)),CONCATENATE("""^",$B$1,"/",P40,"$"""),"")</f>
        <v>"^http://data.esante.gouv.fr/ansm/medicament/PPhParSubstanceForme_.*$"</v>
      </c>
      <c r="R40" s="2" t="s">
        <v>173</v>
      </c>
    </row>
    <row r="41" ht="76.5">
      <c r="A41" s="2" t="s">
        <v>182</v>
      </c>
      <c r="B41" s="8" t="s">
        <v>183</v>
      </c>
      <c r="C41" s="8" t="s">
        <v>184</v>
      </c>
      <c r="D41" s="8">
        <f t="shared" si="0"/>
        <v>41</v>
      </c>
      <c r="E41" s="2" t="s">
        <v>54</v>
      </c>
      <c r="F41" s="2" t="s">
        <v>185</v>
      </c>
      <c r="G41" s="2"/>
      <c r="H41" s="8" t="s">
        <v>171</v>
      </c>
      <c r="I41" s="9"/>
      <c r="J41" s="10"/>
      <c r="K41" s="2" t="b">
        <v>1</v>
      </c>
      <c r="L41" s="2"/>
      <c r="M41" s="8"/>
      <c r="N41" s="8" t="s">
        <v>57</v>
      </c>
      <c r="O41" s="2" t="s">
        <v>58</v>
      </c>
      <c r="P41" s="2" t="s">
        <v>186</v>
      </c>
      <c r="Q41" t="str">
        <f>IF(NOT(ISBLANK(P41)),CONCATENATE("""^",$B$1,"/",P41,"$"""),"")</f>
        <v>"^http://data.esante.gouv.fr/ansm/medicament/PPhParSubstanceDosageForme_.*$"</v>
      </c>
      <c r="R41" s="2" t="s">
        <v>173</v>
      </c>
    </row>
    <row r="42" ht="21" customHeight="1">
      <c r="A42" s="35" t="s">
        <v>187</v>
      </c>
      <c r="B42" s="36"/>
      <c r="C42" s="36"/>
      <c r="D42" s="36"/>
      <c r="E42" s="37"/>
      <c r="F42" s="37"/>
      <c r="G42" s="37"/>
      <c r="H42" s="36"/>
      <c r="I42" s="9"/>
      <c r="J42" s="10"/>
      <c r="K42" s="36"/>
      <c r="L42" s="36"/>
      <c r="M42" s="36"/>
      <c r="N42" s="38"/>
      <c r="O42" s="37"/>
      <c r="P42" s="37"/>
      <c r="Q42" s="37"/>
      <c r="R42" s="37"/>
      <c r="S42" s="36"/>
      <c r="T42" s="37"/>
      <c r="U42" s="37"/>
      <c r="V42" s="37"/>
      <c r="W42" s="37"/>
      <c r="X42" s="37"/>
      <c r="Y42" s="37"/>
      <c r="Z42" s="37"/>
      <c r="AA42" s="37"/>
      <c r="AB42" s="37"/>
      <c r="AC42" s="37"/>
      <c r="AD42" s="37"/>
      <c r="AE42" s="37"/>
      <c r="AF42" s="37"/>
      <c r="AG42" s="37"/>
    </row>
    <row r="43" ht="51">
      <c r="A43" s="2" t="s">
        <v>188</v>
      </c>
      <c r="B43" s="8" t="s">
        <v>189</v>
      </c>
      <c r="C43" s="8" t="s">
        <v>190</v>
      </c>
      <c r="D43" s="8">
        <f t="shared" si="0"/>
        <v>43</v>
      </c>
      <c r="E43" s="2" t="s">
        <v>54</v>
      </c>
      <c r="F43" s="2"/>
      <c r="G43" s="2"/>
      <c r="H43" s="8"/>
      <c r="I43" s="9"/>
      <c r="J43" s="10"/>
      <c r="M43" s="8"/>
      <c r="N43" s="8" t="s">
        <v>57</v>
      </c>
      <c r="O43" s="2" t="s">
        <v>58</v>
      </c>
      <c r="P43" t="s">
        <v>191</v>
      </c>
      <c r="Q43" t="str">
        <f>IF(NOT(ISBLANK(P43)),CONCATENATE("""^",$B$1,"/",P43,"$"""),"")</f>
        <v>"^http://data.esante.gouv.fr/ansm/medicament/Evenement_.*$"</v>
      </c>
      <c r="R43" s="2" t="s">
        <v>192</v>
      </c>
    </row>
    <row r="44" ht="63.75">
      <c r="A44" s="2" t="s">
        <v>193</v>
      </c>
      <c r="B44" s="8" t="s">
        <v>194</v>
      </c>
      <c r="C44" s="8" t="s">
        <v>195</v>
      </c>
      <c r="D44" s="8">
        <f t="shared" si="0"/>
        <v>44</v>
      </c>
      <c r="E44" s="2" t="s">
        <v>54</v>
      </c>
      <c r="F44" s="2" t="s">
        <v>196</v>
      </c>
      <c r="G44" s="2"/>
      <c r="H44" s="8"/>
      <c r="I44" s="9"/>
      <c r="J44" s="10"/>
      <c r="M44" s="8" t="s">
        <v>197</v>
      </c>
      <c r="N44" s="8" t="s">
        <v>57</v>
      </c>
      <c r="O44" s="2" t="s">
        <v>58</v>
      </c>
      <c r="P44" t="s">
        <v>198</v>
      </c>
      <c r="Q44" t="str">
        <f>IF(NOT(ISBLANK(P44)),CONCATENATE("""^",$B$1,"/",P44,"$"""),"")</f>
        <v>"^http://data.esante.gouv.fr/ansm/medicament/Autorisation_.*$"</v>
      </c>
      <c r="R44" s="2" t="s">
        <v>192</v>
      </c>
    </row>
    <row r="45" s="39" customFormat="1" ht="38.25">
      <c r="A45" s="39" t="s">
        <v>199</v>
      </c>
      <c r="B45" s="40" t="s">
        <v>200</v>
      </c>
      <c r="C45" s="40" t="s">
        <v>201</v>
      </c>
      <c r="D45" s="40">
        <f t="shared" si="0"/>
        <v>45</v>
      </c>
      <c r="E45" s="39" t="s">
        <v>54</v>
      </c>
      <c r="F45" s="39"/>
      <c r="G45" s="39"/>
      <c r="H45" s="40"/>
      <c r="I45" s="41"/>
      <c r="J45" s="42"/>
      <c r="K45" s="39"/>
      <c r="M45" s="40" t="s">
        <v>197</v>
      </c>
      <c r="N45" s="40" t="s">
        <v>57</v>
      </c>
      <c r="O45" s="39" t="s">
        <v>58</v>
      </c>
      <c r="P45" s="39" t="s">
        <v>202</v>
      </c>
      <c r="Q45" s="39" t="str">
        <f>IF(NOT(ISBLANK(P45)),CONCATENATE("""^",$B$1,"/",P45,"$"""),"")</f>
        <v>"^http://data.esante.gouv.fr/ansm/medicament/AccesDerogatoire_.*$"</v>
      </c>
      <c r="R45" s="39" t="s">
        <v>192</v>
      </c>
    </row>
    <row r="46" ht="38.25">
      <c r="A46" s="2" t="s">
        <v>203</v>
      </c>
      <c r="B46" s="8" t="s">
        <v>204</v>
      </c>
      <c r="C46" s="8" t="s">
        <v>205</v>
      </c>
      <c r="D46" s="8">
        <f t="shared" si="0"/>
        <v>46</v>
      </c>
      <c r="E46" s="2" t="s">
        <v>54</v>
      </c>
      <c r="F46" s="2"/>
      <c r="G46" s="2"/>
      <c r="H46" s="8"/>
      <c r="I46" s="9"/>
      <c r="J46" s="10"/>
      <c r="M46" s="8" t="s">
        <v>197</v>
      </c>
      <c r="N46" s="8" t="s">
        <v>57</v>
      </c>
      <c r="O46" s="2" t="s">
        <v>58</v>
      </c>
      <c r="P46" t="s">
        <v>206</v>
      </c>
      <c r="Q46" t="str">
        <f>IF(NOT(ISBLANK(P46)),CONCATENATE("""^",$B$1,"/",P46,"$"""),"")</f>
        <v>"^http://data.esante.gouv.fr/ansm/medicament/ChangementDeStatut_.*$"</v>
      </c>
      <c r="R46" s="2" t="s">
        <v>192</v>
      </c>
    </row>
    <row r="47" ht="16.5">
      <c r="A47" s="24" t="s">
        <v>207</v>
      </c>
      <c r="B47" s="25"/>
      <c r="C47" s="25"/>
      <c r="D47" s="25"/>
      <c r="E47" s="26"/>
      <c r="F47" s="26"/>
      <c r="G47" s="26"/>
      <c r="H47" s="25"/>
      <c r="I47" s="9"/>
      <c r="J47" s="10"/>
      <c r="K47" s="25"/>
      <c r="L47" s="25"/>
      <c r="M47" s="25"/>
      <c r="N47" s="27"/>
      <c r="O47" s="26"/>
      <c r="P47" s="26"/>
      <c r="Q47" s="26"/>
      <c r="R47" s="26"/>
      <c r="S47" s="25"/>
      <c r="T47" s="26"/>
      <c r="U47" s="26"/>
      <c r="V47" s="26"/>
      <c r="W47" s="26"/>
      <c r="X47" s="26"/>
      <c r="Y47" s="26"/>
      <c r="Z47" s="26"/>
      <c r="AA47" s="26"/>
      <c r="AB47" s="26"/>
      <c r="AC47" s="26"/>
      <c r="AD47" s="26"/>
      <c r="AE47" s="26"/>
      <c r="AF47" s="26"/>
    </row>
    <row r="48" ht="38.25">
      <c r="A48" s="2" t="s">
        <v>208</v>
      </c>
      <c r="B48" s="8" t="s">
        <v>209</v>
      </c>
      <c r="C48" s="8" t="s">
        <v>210</v>
      </c>
      <c r="D48" s="8">
        <f t="shared" si="0"/>
        <v>48</v>
      </c>
      <c r="E48" s="2" t="s">
        <v>54</v>
      </c>
      <c r="F48" s="2"/>
      <c r="G48" s="2"/>
      <c r="H48" s="8"/>
      <c r="I48" s="9"/>
      <c r="J48" s="10"/>
      <c r="K48" s="2" t="b">
        <v>1</v>
      </c>
      <c r="L48" s="2"/>
      <c r="M48" s="8"/>
      <c r="N48" s="8" t="s">
        <v>57</v>
      </c>
      <c r="O48" s="2" t="s">
        <v>58</v>
      </c>
      <c r="P48" t="s">
        <v>211</v>
      </c>
      <c r="Q48" t="str">
        <f>IF(NOT(ISBLANK(P48)),CONCATENATE("""^",$B$1,"/",P48,"$"""),"")</f>
        <v>"^http://data.esante.gouv.fr/ansm/medicament/TypeProcedure_.*$"</v>
      </c>
      <c r="R48" s="2" t="s">
        <v>114</v>
      </c>
    </row>
    <row r="49" ht="38.25">
      <c r="A49" s="2" t="s">
        <v>212</v>
      </c>
      <c r="B49" s="8" t="s">
        <v>213</v>
      </c>
      <c r="C49" s="8" t="s">
        <v>214</v>
      </c>
      <c r="D49" s="8">
        <f t="shared" si="0"/>
        <v>49</v>
      </c>
      <c r="E49" s="2" t="s">
        <v>54</v>
      </c>
      <c r="F49" s="2"/>
      <c r="G49" s="2"/>
      <c r="H49" s="8"/>
      <c r="I49" s="9"/>
      <c r="J49" s="10"/>
      <c r="K49" s="2" t="b">
        <v>1</v>
      </c>
      <c r="L49" s="2"/>
      <c r="M49" s="8"/>
      <c r="N49" s="8" t="s">
        <v>57</v>
      </c>
      <c r="O49" s="2" t="s">
        <v>58</v>
      </c>
      <c r="P49" t="s">
        <v>215</v>
      </c>
      <c r="Q49" t="str">
        <f>IF(NOT(ISBLANK(P49)),CONCATENATE("""^",$B$1,"/",P49,"$"""),"")</f>
        <v>"^http://data.esante.gouv.fr/ansm/medicament/StatutSpecialite_.*$"</v>
      </c>
      <c r="R49" s="2" t="s">
        <v>114</v>
      </c>
    </row>
    <row r="50" ht="38.25">
      <c r="A50" s="2" t="s">
        <v>216</v>
      </c>
      <c r="B50" s="8" t="s">
        <v>217</v>
      </c>
      <c r="C50" s="8" t="s">
        <v>218</v>
      </c>
      <c r="D50" s="8">
        <f t="shared" si="0"/>
        <v>50</v>
      </c>
      <c r="E50" s="2" t="s">
        <v>54</v>
      </c>
      <c r="F50" s="2"/>
      <c r="G50" s="2"/>
      <c r="H50" s="8"/>
      <c r="I50" s="9"/>
      <c r="J50" s="10"/>
      <c r="K50" s="2" t="b">
        <v>1</v>
      </c>
      <c r="L50" s="2"/>
      <c r="M50" s="8"/>
      <c r="N50" s="8" t="s">
        <v>57</v>
      </c>
      <c r="O50" s="2" t="s">
        <v>58</v>
      </c>
      <c r="P50" t="s">
        <v>219</v>
      </c>
      <c r="Q50" t="str">
        <f>IF(NOT(ISBLANK(P50)),CONCATENATE("""^",$B$1,"/",P50,"$"""),"")</f>
        <v>"^http://data.esante.gouv.fr/ansm/medicament/TypeEvenement_.*$"</v>
      </c>
      <c r="R50" s="2" t="s">
        <v>114</v>
      </c>
    </row>
    <row r="51" ht="16.5">
      <c r="A51" s="43" t="s">
        <v>220</v>
      </c>
      <c r="B51" s="44"/>
      <c r="C51" s="44"/>
      <c r="D51" s="44"/>
      <c r="E51" s="45"/>
      <c r="F51" s="45"/>
      <c r="G51" s="45"/>
      <c r="H51" s="44"/>
      <c r="I51" s="9"/>
      <c r="J51" s="10"/>
      <c r="K51" s="46"/>
      <c r="L51" s="45"/>
      <c r="M51" s="44"/>
      <c r="N51" s="44"/>
      <c r="O51" s="45"/>
      <c r="P51" s="45"/>
      <c r="Q51" s="45"/>
      <c r="R51" s="45"/>
      <c r="S51" s="45"/>
      <c r="T51" s="45"/>
      <c r="U51" s="45"/>
      <c r="V51" s="45"/>
      <c r="W51" s="45"/>
      <c r="X51" s="45"/>
      <c r="Y51" s="45"/>
      <c r="Z51" s="45"/>
      <c r="AA51" s="45"/>
      <c r="AB51" s="45"/>
      <c r="AC51" s="45"/>
      <c r="AD51" s="45"/>
      <c r="AE51" s="45"/>
      <c r="AF51" s="45"/>
      <c r="AG51" s="45"/>
    </row>
    <row r="52" ht="25.5">
      <c r="A52" s="2" t="s">
        <v>221</v>
      </c>
      <c r="B52" s="8" t="s">
        <v>222</v>
      </c>
      <c r="C52" s="8" t="s">
        <v>223</v>
      </c>
      <c r="D52" s="8">
        <f t="shared" si="0"/>
        <v>52</v>
      </c>
      <c r="E52" s="2" t="s">
        <v>54</v>
      </c>
      <c r="F52" s="2"/>
      <c r="G52" s="2"/>
      <c r="H52" s="8"/>
      <c r="I52" s="9"/>
      <c r="K52" s="2" t="b">
        <v>1</v>
      </c>
      <c r="L52" s="2"/>
      <c r="M52" s="8"/>
      <c r="N52" s="8" t="s">
        <v>57</v>
      </c>
      <c r="O52" t="s">
        <v>224</v>
      </c>
      <c r="Q52" t="str">
        <f>IF(NOT(ISBLANK(P52)),CONCATENATE("""^",$B$1,"/",P52,"$"""),"")</f>
        <v/>
      </c>
    </row>
    <row r="53" ht="12.75">
      <c r="B53" s="8"/>
      <c r="C53" s="8"/>
      <c r="D53" s="8"/>
      <c r="M53" s="8"/>
      <c r="N53" s="8"/>
    </row>
    <row r="54" ht="12.75">
      <c r="B54" s="8"/>
      <c r="C54" s="8"/>
      <c r="D54" s="8"/>
      <c r="M54" s="8"/>
      <c r="N54" s="8"/>
    </row>
    <row r="55" ht="12.75">
      <c r="B55" s="8"/>
      <c r="C55" s="8"/>
      <c r="D55" s="8"/>
      <c r="M55" s="8"/>
      <c r="N55" s="8"/>
    </row>
    <row r="56" ht="12.75">
      <c r="B56" s="8"/>
      <c r="C56" s="8"/>
      <c r="D56" s="8"/>
      <c r="M56" s="8"/>
      <c r="N56" s="8"/>
    </row>
    <row r="57" ht="12.75">
      <c r="B57" s="8"/>
      <c r="C57" s="8"/>
      <c r="D57" s="8"/>
      <c r="M57" s="8"/>
      <c r="N57" s="8"/>
    </row>
    <row r="58" ht="12.75">
      <c r="B58" s="8"/>
      <c r="C58" s="8"/>
      <c r="D58" s="8"/>
      <c r="M58" s="8"/>
      <c r="N58" s="8"/>
    </row>
    <row r="59" ht="12.75">
      <c r="B59" s="8"/>
      <c r="C59" s="8"/>
      <c r="D59" s="8"/>
      <c r="M59" s="8"/>
      <c r="N59" s="8"/>
    </row>
    <row r="60" ht="12.75">
      <c r="B60" s="8"/>
      <c r="C60" s="8"/>
      <c r="D60" s="8"/>
      <c r="M60" s="8"/>
      <c r="N60" s="8"/>
    </row>
    <row r="61" ht="12.75">
      <c r="B61" s="8"/>
      <c r="C61" s="8"/>
      <c r="D61" s="8"/>
      <c r="M61" s="8"/>
      <c r="N61" s="8"/>
    </row>
    <row r="62" ht="12.75">
      <c r="B62" s="8"/>
      <c r="C62" s="8"/>
      <c r="D62" s="8"/>
      <c r="M62" s="8"/>
      <c r="N62" s="8"/>
    </row>
    <row r="63" ht="12.75">
      <c r="B63" s="8"/>
      <c r="C63" s="8"/>
      <c r="D63" s="8"/>
      <c r="M63" s="8"/>
      <c r="N63" s="8"/>
    </row>
    <row r="64" ht="12.75">
      <c r="B64" s="8"/>
      <c r="C64" s="8"/>
      <c r="D64" s="8"/>
      <c r="M64" s="8"/>
      <c r="N64" s="8"/>
    </row>
    <row r="65" ht="12.75">
      <c r="B65" s="8"/>
      <c r="C65" s="8"/>
      <c r="D65" s="8"/>
      <c r="M65" s="8"/>
      <c r="N65" s="8"/>
    </row>
    <row r="66" ht="12.75">
      <c r="B66" s="8"/>
      <c r="C66" s="8"/>
      <c r="D66" s="8"/>
      <c r="M66" s="8"/>
      <c r="N66" s="8"/>
    </row>
    <row r="67" ht="12.75">
      <c r="B67" s="8"/>
      <c r="C67" s="8"/>
      <c r="D67" s="8"/>
      <c r="M67" s="8"/>
      <c r="N67" s="8"/>
    </row>
    <row r="68" ht="12.75">
      <c r="B68" s="8"/>
      <c r="C68" s="8"/>
      <c r="D68" s="8"/>
      <c r="M68" s="8"/>
      <c r="N68" s="8"/>
    </row>
    <row r="69" ht="12.75">
      <c r="B69" s="8"/>
      <c r="C69" s="8"/>
      <c r="D69" s="8"/>
      <c r="M69" s="8"/>
      <c r="N69" s="8"/>
    </row>
    <row r="70" ht="12.75">
      <c r="B70" s="8"/>
      <c r="C70" s="8"/>
      <c r="D70" s="8"/>
      <c r="M70" s="8"/>
      <c r="N70" s="8"/>
    </row>
    <row r="71" ht="12.75">
      <c r="B71" s="8"/>
      <c r="C71" s="8"/>
      <c r="D71" s="8"/>
      <c r="M71" s="8"/>
      <c r="N71" s="8"/>
    </row>
    <row r="72" ht="12.75">
      <c r="B72" s="8"/>
      <c r="C72" s="8"/>
      <c r="D72" s="8"/>
      <c r="M72" s="8"/>
      <c r="N72" s="8"/>
    </row>
    <row r="73" ht="12.75">
      <c r="B73" s="8"/>
      <c r="C73" s="8"/>
      <c r="D73" s="8"/>
      <c r="M73" s="8"/>
      <c r="N73" s="8"/>
    </row>
    <row r="74" ht="12.75">
      <c r="B74" s="8"/>
      <c r="C74" s="8"/>
      <c r="D74" s="8"/>
      <c r="M74" s="8"/>
      <c r="N74" s="8"/>
    </row>
    <row r="75" ht="12.75">
      <c r="B75" s="8"/>
      <c r="C75" s="8"/>
      <c r="D75" s="8"/>
      <c r="M75" s="8"/>
      <c r="N75" s="8"/>
    </row>
    <row r="76" ht="12.75">
      <c r="B76" s="8"/>
      <c r="C76" s="8"/>
      <c r="D76" s="8"/>
      <c r="M76" s="8"/>
      <c r="N76" s="8"/>
    </row>
    <row r="77" ht="12.75">
      <c r="B77" s="8"/>
      <c r="C77" s="8"/>
      <c r="D77" s="8"/>
      <c r="M77" s="8"/>
      <c r="N77" s="8"/>
    </row>
    <row r="78" ht="12.75">
      <c r="B78" s="8"/>
      <c r="C78" s="8"/>
      <c r="D78" s="8"/>
      <c r="M78" s="8"/>
      <c r="N78" s="8"/>
    </row>
    <row r="79" ht="12.75">
      <c r="B79" s="8"/>
      <c r="C79" s="8"/>
      <c r="D79" s="8"/>
      <c r="M79" s="8"/>
      <c r="N79" s="8"/>
    </row>
    <row r="80" ht="12.75">
      <c r="B80" s="8"/>
      <c r="C80" s="8"/>
      <c r="D80" s="8"/>
      <c r="M80" s="8"/>
      <c r="N80" s="8"/>
    </row>
    <row r="81" ht="12.75">
      <c r="B81" s="8"/>
      <c r="C81" s="8"/>
      <c r="D81" s="8"/>
      <c r="M81" s="8"/>
      <c r="N81" s="8"/>
    </row>
    <row r="82" ht="12.75">
      <c r="B82" s="8"/>
      <c r="C82" s="8"/>
      <c r="D82" s="8"/>
      <c r="M82" s="8"/>
      <c r="N82" s="8"/>
    </row>
    <row r="83" ht="12.75">
      <c r="B83" s="8"/>
      <c r="C83" s="8"/>
      <c r="D83" s="8"/>
      <c r="M83" s="8"/>
      <c r="N83" s="8"/>
    </row>
    <row r="84" ht="12.75">
      <c r="B84" s="8"/>
      <c r="C84" s="8"/>
      <c r="D84" s="8"/>
      <c r="M84" s="8"/>
      <c r="N84" s="8"/>
    </row>
    <row r="85" ht="12.75">
      <c r="B85" s="8"/>
      <c r="C85" s="8"/>
      <c r="D85" s="8"/>
      <c r="M85" s="8"/>
      <c r="N85" s="8"/>
    </row>
    <row r="86" ht="12.75">
      <c r="B86" s="8"/>
      <c r="C86" s="8"/>
      <c r="D86" s="8"/>
      <c r="M86" s="8"/>
      <c r="N86" s="8"/>
    </row>
    <row r="87" ht="12.75">
      <c r="B87" s="8"/>
      <c r="C87" s="8"/>
      <c r="D87" s="8"/>
      <c r="M87" s="8"/>
      <c r="N87" s="8"/>
    </row>
    <row r="88" ht="12.75">
      <c r="B88" s="8"/>
      <c r="C88" s="8"/>
      <c r="D88" s="8"/>
      <c r="M88" s="8"/>
      <c r="N88" s="8"/>
    </row>
    <row r="89" ht="12.75">
      <c r="B89" s="8"/>
      <c r="C89" s="8"/>
      <c r="D89" s="8"/>
      <c r="M89" s="8"/>
      <c r="N89" s="8"/>
    </row>
    <row r="90" ht="12.75">
      <c r="B90" s="8"/>
      <c r="C90" s="8"/>
      <c r="D90" s="8"/>
      <c r="M90" s="8"/>
      <c r="N90" s="8"/>
    </row>
    <row r="91" ht="12.75">
      <c r="B91" s="8"/>
      <c r="C91" s="8"/>
      <c r="D91" s="8"/>
      <c r="M91" s="8"/>
      <c r="N91" s="8"/>
    </row>
    <row r="92" ht="12.75">
      <c r="B92" s="8"/>
      <c r="C92" s="8"/>
      <c r="D92" s="8"/>
      <c r="M92" s="8"/>
      <c r="N92" s="8"/>
    </row>
    <row r="93" ht="12.75">
      <c r="B93" s="8"/>
      <c r="C93" s="8"/>
      <c r="D93" s="8"/>
      <c r="M93" s="8"/>
      <c r="N93" s="8"/>
    </row>
    <row r="94" ht="12.75">
      <c r="B94" s="8"/>
      <c r="C94" s="8"/>
      <c r="D94" s="8"/>
      <c r="M94" s="8"/>
      <c r="N94" s="8"/>
    </row>
    <row r="95" ht="12.75">
      <c r="B95" s="8"/>
      <c r="C95" s="8"/>
      <c r="D95" s="8"/>
      <c r="M95" s="8"/>
      <c r="N95" s="8"/>
    </row>
    <row r="96" ht="12.75">
      <c r="B96" s="8"/>
      <c r="C96" s="8"/>
      <c r="D96" s="8"/>
      <c r="M96" s="8"/>
      <c r="N96" s="8"/>
    </row>
    <row r="97" ht="12.75">
      <c r="B97" s="8"/>
      <c r="C97" s="8"/>
      <c r="D97" s="8"/>
      <c r="M97" s="8"/>
      <c r="N97" s="8"/>
    </row>
    <row r="98" ht="12.75">
      <c r="B98" s="8"/>
      <c r="C98" s="8"/>
      <c r="D98" s="8"/>
      <c r="M98" s="8"/>
      <c r="N98" s="8"/>
    </row>
    <row r="99" ht="12.75">
      <c r="B99" s="8"/>
      <c r="C99" s="8"/>
      <c r="D99" s="8"/>
      <c r="M99" s="8"/>
      <c r="N99" s="8"/>
    </row>
    <row r="100" ht="12.75">
      <c r="B100" s="8"/>
      <c r="C100" s="8"/>
      <c r="D100" s="8"/>
      <c r="M100" s="8"/>
      <c r="N100" s="8"/>
    </row>
    <row r="101" ht="12.75">
      <c r="B101" s="8"/>
      <c r="C101" s="8"/>
      <c r="D101" s="8"/>
      <c r="M101" s="8"/>
      <c r="N101" s="8"/>
    </row>
    <row r="102" ht="12.75">
      <c r="B102" s="8"/>
      <c r="C102" s="8"/>
      <c r="D102" s="8"/>
      <c r="M102" s="8"/>
      <c r="N102" s="8"/>
    </row>
    <row r="103" ht="12.75">
      <c r="B103" s="8"/>
      <c r="C103" s="8"/>
      <c r="D103" s="8"/>
      <c r="M103" s="8"/>
      <c r="N103" s="8"/>
    </row>
    <row r="104" ht="12.75">
      <c r="B104" s="8"/>
      <c r="C104" s="8"/>
      <c r="D104" s="8"/>
      <c r="M104" s="8"/>
      <c r="N104" s="8"/>
    </row>
    <row r="105" ht="12.75">
      <c r="B105" s="8"/>
      <c r="C105" s="8"/>
      <c r="D105" s="8"/>
      <c r="M105" s="8"/>
      <c r="N105" s="8"/>
    </row>
    <row r="106" ht="12.75">
      <c r="B106" s="8"/>
      <c r="C106" s="8"/>
      <c r="D106" s="8"/>
      <c r="M106" s="8"/>
      <c r="N106" s="8"/>
    </row>
    <row r="107" ht="12.75">
      <c r="B107" s="8"/>
      <c r="C107" s="8"/>
      <c r="D107" s="8"/>
      <c r="M107" s="8"/>
      <c r="N107" s="8"/>
    </row>
    <row r="108" ht="12.75">
      <c r="B108" s="8"/>
      <c r="C108" s="8"/>
      <c r="D108" s="8"/>
      <c r="M108" s="8"/>
      <c r="N108" s="8"/>
    </row>
    <row r="109" ht="12.75">
      <c r="B109" s="8"/>
      <c r="C109" s="8"/>
      <c r="D109" s="8"/>
      <c r="M109" s="8"/>
      <c r="N109" s="8"/>
    </row>
    <row r="110" ht="12.75">
      <c r="B110" s="8"/>
      <c r="C110" s="8"/>
      <c r="D110" s="8"/>
      <c r="M110" s="8"/>
      <c r="N110" s="8"/>
    </row>
    <row r="111" ht="12.75">
      <c r="B111" s="8"/>
      <c r="C111" s="8"/>
      <c r="D111" s="8"/>
      <c r="M111" s="8"/>
      <c r="N111" s="8"/>
    </row>
    <row r="112" ht="12.75">
      <c r="B112" s="8"/>
      <c r="C112" s="8"/>
      <c r="D112" s="8"/>
      <c r="M112" s="8"/>
      <c r="N112" s="8"/>
    </row>
    <row r="113" ht="12.75">
      <c r="B113" s="8"/>
      <c r="C113" s="8"/>
      <c r="D113" s="8"/>
      <c r="M113" s="8"/>
      <c r="N113" s="8"/>
    </row>
    <row r="114" ht="12.75">
      <c r="B114" s="8"/>
      <c r="C114" s="8"/>
      <c r="D114" s="8"/>
      <c r="M114" s="8"/>
      <c r="N114" s="8"/>
    </row>
    <row r="115" ht="12.75">
      <c r="B115" s="8"/>
      <c r="C115" s="8"/>
      <c r="D115" s="8"/>
      <c r="M115" s="8"/>
      <c r="N115" s="8"/>
    </row>
    <row r="116" ht="12.75">
      <c r="B116" s="8"/>
      <c r="C116" s="8"/>
      <c r="D116" s="8"/>
      <c r="M116" s="8"/>
      <c r="N116" s="8"/>
    </row>
    <row r="117" ht="12.75">
      <c r="B117" s="8"/>
      <c r="C117" s="8"/>
      <c r="D117" s="8"/>
      <c r="M117" s="8"/>
      <c r="N117" s="8"/>
    </row>
    <row r="118" ht="12.75">
      <c r="B118" s="8"/>
      <c r="C118" s="8"/>
      <c r="D118" s="8"/>
      <c r="M118" s="8"/>
      <c r="N118" s="8"/>
    </row>
    <row r="119" ht="12.75">
      <c r="B119" s="8"/>
      <c r="C119" s="8"/>
      <c r="D119" s="8"/>
      <c r="M119" s="8"/>
      <c r="N119" s="8"/>
    </row>
    <row r="120" ht="12.75">
      <c r="B120" s="8"/>
      <c r="C120" s="8"/>
      <c r="D120" s="8"/>
      <c r="M120" s="8"/>
      <c r="N120" s="8"/>
    </row>
    <row r="121" ht="12.75">
      <c r="B121" s="8"/>
      <c r="C121" s="8"/>
      <c r="D121" s="8"/>
      <c r="M121" s="8"/>
      <c r="N121" s="8"/>
    </row>
    <row r="122" ht="12.75">
      <c r="B122" s="8"/>
      <c r="C122" s="8"/>
      <c r="D122" s="8"/>
      <c r="M122" s="8"/>
      <c r="N122" s="8"/>
    </row>
    <row r="123" ht="12.75">
      <c r="B123" s="8"/>
      <c r="C123" s="8"/>
      <c r="D123" s="8"/>
      <c r="M123" s="8"/>
      <c r="N123" s="8"/>
    </row>
    <row r="124" ht="12.75">
      <c r="B124" s="8"/>
      <c r="C124" s="8"/>
      <c r="D124" s="8"/>
      <c r="M124" s="8"/>
      <c r="N124" s="8"/>
    </row>
    <row r="125" ht="12.75">
      <c r="B125" s="8"/>
      <c r="C125" s="8"/>
      <c r="D125" s="8"/>
      <c r="M125" s="8"/>
      <c r="N125" s="8"/>
    </row>
    <row r="126" ht="12.75">
      <c r="B126" s="8"/>
      <c r="C126" s="8"/>
      <c r="D126" s="8"/>
      <c r="M126" s="8"/>
      <c r="N126" s="8"/>
    </row>
    <row r="127" ht="12.75">
      <c r="B127" s="8"/>
      <c r="C127" s="8"/>
      <c r="D127" s="8"/>
      <c r="M127" s="8"/>
      <c r="N127" s="8"/>
    </row>
    <row r="128" ht="12.75">
      <c r="B128" s="8"/>
      <c r="C128" s="8"/>
      <c r="D128" s="8"/>
      <c r="M128" s="8"/>
      <c r="N128" s="8"/>
    </row>
    <row r="129" ht="12.75">
      <c r="B129" s="8"/>
      <c r="C129" s="8"/>
      <c r="D129" s="8"/>
      <c r="M129" s="8"/>
      <c r="N129" s="8"/>
    </row>
    <row r="130" ht="12.75">
      <c r="B130" s="8"/>
      <c r="C130" s="8"/>
      <c r="D130" s="8"/>
      <c r="M130" s="8"/>
      <c r="N130" s="8"/>
    </row>
    <row r="131" ht="12.75">
      <c r="B131" s="8"/>
      <c r="C131" s="8"/>
      <c r="D131" s="8"/>
      <c r="M131" s="8"/>
      <c r="N131" s="8"/>
    </row>
    <row r="132" ht="12.75">
      <c r="B132" s="8"/>
      <c r="C132" s="8"/>
      <c r="D132" s="8"/>
      <c r="M132" s="8"/>
      <c r="N132" s="8"/>
    </row>
    <row r="133" ht="12.75">
      <c r="B133" s="8"/>
      <c r="C133" s="8"/>
      <c r="D133" s="8"/>
      <c r="M133" s="8"/>
      <c r="N133" s="8"/>
    </row>
    <row r="134" ht="12.75">
      <c r="B134" s="8"/>
      <c r="C134" s="8"/>
      <c r="D134" s="8"/>
      <c r="M134" s="8"/>
      <c r="N134" s="8"/>
    </row>
    <row r="135" ht="12.75">
      <c r="B135" s="8"/>
      <c r="C135" s="8"/>
      <c r="D135" s="8"/>
      <c r="M135" s="8"/>
      <c r="N135" s="8"/>
    </row>
    <row r="136" ht="12.75">
      <c r="B136" s="8"/>
      <c r="C136" s="8"/>
      <c r="D136" s="8"/>
      <c r="M136" s="8"/>
      <c r="N136" s="8"/>
    </row>
    <row r="137" ht="12.75">
      <c r="B137" s="8"/>
      <c r="C137" s="8"/>
      <c r="D137" s="8"/>
      <c r="M137" s="8"/>
      <c r="N137" s="8"/>
    </row>
    <row r="138" ht="12.75">
      <c r="B138" s="8"/>
      <c r="C138" s="8"/>
      <c r="D138" s="8"/>
      <c r="M138" s="8"/>
      <c r="N138" s="8"/>
    </row>
    <row r="139" ht="12.75">
      <c r="B139" s="8"/>
      <c r="C139" s="8"/>
      <c r="D139" s="8"/>
      <c r="M139" s="8"/>
      <c r="N139" s="8"/>
    </row>
    <row r="140" ht="12.75">
      <c r="B140" s="8"/>
      <c r="C140" s="8"/>
      <c r="D140" s="8"/>
      <c r="M140" s="8"/>
      <c r="N140" s="8"/>
    </row>
    <row r="141" ht="12.75">
      <c r="B141" s="8"/>
      <c r="C141" s="8"/>
      <c r="D141" s="8"/>
      <c r="M141" s="8"/>
      <c r="N141" s="8"/>
    </row>
    <row r="142" ht="12.75">
      <c r="B142" s="8"/>
      <c r="C142" s="8"/>
      <c r="D142" s="8"/>
      <c r="M142" s="8"/>
      <c r="N142" s="8"/>
    </row>
    <row r="143" ht="12.75">
      <c r="B143" s="8"/>
      <c r="C143" s="8"/>
      <c r="D143" s="8"/>
      <c r="M143" s="8"/>
      <c r="N143" s="8"/>
    </row>
    <row r="144" ht="12.75">
      <c r="B144" s="8"/>
      <c r="C144" s="8"/>
      <c r="D144" s="8"/>
      <c r="M144" s="8"/>
      <c r="N144" s="8"/>
    </row>
    <row r="145" ht="12.75">
      <c r="B145" s="8"/>
      <c r="C145" s="8"/>
      <c r="D145" s="8"/>
      <c r="M145" s="8"/>
      <c r="N145" s="8"/>
    </row>
    <row r="146" ht="12.75">
      <c r="B146" s="8"/>
      <c r="C146" s="8"/>
      <c r="D146" s="8"/>
      <c r="M146" s="8"/>
      <c r="N146" s="8"/>
    </row>
    <row r="147" ht="12.75">
      <c r="B147" s="8"/>
      <c r="C147" s="8"/>
      <c r="D147" s="8"/>
      <c r="M147" s="8"/>
      <c r="N147" s="8"/>
    </row>
    <row r="148" ht="12.75">
      <c r="B148" s="8"/>
      <c r="C148" s="8"/>
      <c r="D148" s="8"/>
      <c r="M148" s="8"/>
      <c r="N148" s="8"/>
    </row>
    <row r="149" ht="12.75">
      <c r="B149" s="8"/>
      <c r="C149" s="8"/>
      <c r="D149" s="8"/>
      <c r="M149" s="8"/>
      <c r="N149" s="8"/>
    </row>
    <row r="150" ht="12.75">
      <c r="B150" s="8"/>
      <c r="C150" s="8"/>
      <c r="D150" s="8"/>
      <c r="M150" s="8"/>
      <c r="N150" s="8"/>
    </row>
    <row r="151" ht="12.75">
      <c r="B151" s="8"/>
      <c r="C151" s="8"/>
      <c r="D151" s="8"/>
      <c r="M151" s="8"/>
      <c r="N151" s="8"/>
    </row>
    <row r="152" ht="12.75">
      <c r="B152" s="8"/>
      <c r="C152" s="8"/>
      <c r="D152" s="8"/>
      <c r="M152" s="8"/>
      <c r="N152" s="8"/>
    </row>
    <row r="153" ht="12.75">
      <c r="B153" s="8"/>
      <c r="C153" s="8"/>
      <c r="D153" s="8"/>
      <c r="M153" s="8"/>
      <c r="N153" s="8"/>
    </row>
    <row r="154" ht="12.75">
      <c r="B154" s="8"/>
      <c r="C154" s="8"/>
      <c r="D154" s="8"/>
      <c r="M154" s="8"/>
      <c r="N154" s="8"/>
    </row>
    <row r="155" ht="12.75">
      <c r="B155" s="8"/>
      <c r="C155" s="8"/>
      <c r="D155" s="8"/>
      <c r="M155" s="8"/>
      <c r="N155" s="8"/>
    </row>
    <row r="156" ht="12.75">
      <c r="B156" s="8"/>
      <c r="C156" s="8"/>
      <c r="D156" s="8"/>
      <c r="M156" s="8"/>
      <c r="N156" s="8"/>
    </row>
    <row r="157" ht="12.75">
      <c r="B157" s="8"/>
      <c r="C157" s="8"/>
      <c r="D157" s="8"/>
      <c r="M157" s="8"/>
      <c r="N157" s="8"/>
    </row>
    <row r="158" ht="12.75">
      <c r="B158" s="8"/>
      <c r="C158" s="8"/>
      <c r="D158" s="8"/>
      <c r="M158" s="8"/>
      <c r="N158" s="8"/>
    </row>
    <row r="159" ht="12.75">
      <c r="B159" s="8"/>
      <c r="C159" s="8"/>
      <c r="D159" s="8"/>
      <c r="M159" s="8"/>
      <c r="N159" s="8"/>
    </row>
    <row r="160" ht="12.75">
      <c r="B160" s="8"/>
      <c r="C160" s="8"/>
      <c r="D160" s="8"/>
      <c r="M160" s="8"/>
      <c r="N160" s="8"/>
    </row>
    <row r="161" ht="12.75">
      <c r="B161" s="8"/>
      <c r="C161" s="8"/>
      <c r="D161" s="8"/>
      <c r="M161" s="8"/>
      <c r="N161" s="8"/>
    </row>
    <row r="162" ht="12.75">
      <c r="B162" s="8"/>
      <c r="C162" s="8"/>
      <c r="D162" s="8"/>
      <c r="M162" s="8"/>
      <c r="N162" s="8"/>
    </row>
    <row r="163" ht="12.75">
      <c r="B163" s="8"/>
      <c r="C163" s="8"/>
      <c r="D163" s="8"/>
      <c r="M163" s="8"/>
      <c r="N163" s="8"/>
    </row>
    <row r="164" ht="12.75">
      <c r="B164" s="8"/>
      <c r="C164" s="8"/>
      <c r="D164" s="8"/>
      <c r="M164" s="8"/>
      <c r="N164" s="8"/>
    </row>
    <row r="165" ht="12.75">
      <c r="B165" s="8"/>
      <c r="C165" s="8"/>
      <c r="D165" s="8"/>
      <c r="M165" s="8"/>
      <c r="N165" s="8"/>
    </row>
    <row r="166" ht="12.75">
      <c r="B166" s="8"/>
      <c r="C166" s="8"/>
      <c r="D166" s="8"/>
      <c r="M166" s="8"/>
      <c r="N166" s="8"/>
    </row>
    <row r="167" ht="12.75">
      <c r="B167" s="8"/>
      <c r="C167" s="8"/>
      <c r="D167" s="8"/>
      <c r="M167" s="8"/>
      <c r="N167" s="8"/>
    </row>
    <row r="168" ht="12.75">
      <c r="B168" s="8"/>
      <c r="C168" s="8"/>
      <c r="D168" s="8"/>
      <c r="M168" s="8"/>
      <c r="N168" s="8"/>
    </row>
    <row r="169" ht="12.75">
      <c r="B169" s="8"/>
      <c r="C169" s="8"/>
      <c r="D169" s="8"/>
      <c r="M169" s="8"/>
      <c r="N169" s="8"/>
    </row>
    <row r="170" ht="12.75">
      <c r="B170" s="8"/>
      <c r="C170" s="8"/>
      <c r="D170" s="8"/>
      <c r="M170" s="8"/>
      <c r="N170" s="8"/>
    </row>
    <row r="171" ht="12.75">
      <c r="B171" s="8"/>
      <c r="C171" s="8"/>
      <c r="D171" s="8"/>
      <c r="M171" s="8"/>
      <c r="N171" s="8"/>
    </row>
    <row r="172" ht="12.75">
      <c r="B172" s="8"/>
      <c r="C172" s="8"/>
      <c r="D172" s="8"/>
      <c r="M172" s="8"/>
      <c r="N172" s="8"/>
    </row>
    <row r="173" ht="12.75">
      <c r="B173" s="8"/>
      <c r="C173" s="8"/>
      <c r="D173" s="8"/>
      <c r="M173" s="8"/>
      <c r="N173" s="8"/>
    </row>
    <row r="174" ht="12.75">
      <c r="B174" s="8"/>
      <c r="C174" s="8"/>
      <c r="D174" s="8"/>
      <c r="M174" s="8"/>
      <c r="N174" s="8"/>
    </row>
    <row r="175" ht="12.75">
      <c r="B175" s="8"/>
      <c r="C175" s="8"/>
      <c r="D175" s="8"/>
      <c r="M175" s="8"/>
      <c r="N175" s="8"/>
    </row>
    <row r="176" ht="12.75">
      <c r="B176" s="8"/>
      <c r="C176" s="8"/>
      <c r="D176" s="8"/>
      <c r="M176" s="8"/>
      <c r="N176" s="8"/>
    </row>
    <row r="177" ht="12.75">
      <c r="B177" s="8"/>
      <c r="C177" s="8"/>
      <c r="D177" s="8"/>
      <c r="M177" s="8"/>
      <c r="N177" s="8"/>
    </row>
    <row r="178" ht="12.75">
      <c r="B178" s="8"/>
      <c r="C178" s="8"/>
      <c r="D178" s="8"/>
      <c r="M178" s="8"/>
      <c r="N178" s="8"/>
    </row>
    <row r="179" ht="12.75">
      <c r="B179" s="8"/>
      <c r="C179" s="8"/>
      <c r="D179" s="8"/>
      <c r="M179" s="8"/>
      <c r="N179" s="8"/>
    </row>
    <row r="180" ht="12.75">
      <c r="B180" s="8"/>
      <c r="C180" s="8"/>
      <c r="D180" s="8"/>
      <c r="M180" s="8"/>
      <c r="N180" s="8"/>
    </row>
    <row r="181" ht="12.75">
      <c r="B181" s="8"/>
      <c r="C181" s="8"/>
      <c r="D181" s="8"/>
      <c r="M181" s="8"/>
      <c r="N181" s="8"/>
    </row>
    <row r="182" ht="12.75">
      <c r="B182" s="8"/>
      <c r="C182" s="8"/>
      <c r="D182" s="8"/>
      <c r="M182" s="8"/>
      <c r="N182" s="8"/>
    </row>
    <row r="183" ht="12.75">
      <c r="B183" s="8"/>
      <c r="C183" s="8"/>
      <c r="D183" s="8"/>
      <c r="M183" s="8"/>
      <c r="N183" s="8"/>
    </row>
    <row r="184" ht="12.75">
      <c r="B184" s="8"/>
      <c r="C184" s="8"/>
      <c r="D184" s="8"/>
      <c r="M184" s="8"/>
      <c r="N184" s="8"/>
    </row>
    <row r="185" ht="12.75">
      <c r="B185" s="8"/>
      <c r="C185" s="8"/>
      <c r="D185" s="8"/>
      <c r="M185" s="8"/>
      <c r="N185" s="8"/>
    </row>
    <row r="186" ht="12.75">
      <c r="B186" s="8"/>
      <c r="C186" s="8"/>
      <c r="D186" s="8"/>
      <c r="M186" s="8"/>
      <c r="N186" s="8"/>
    </row>
    <row r="187" ht="12.75">
      <c r="B187" s="8"/>
      <c r="C187" s="8"/>
      <c r="D187" s="8"/>
      <c r="M187" s="8"/>
      <c r="N187" s="8"/>
    </row>
    <row r="188" ht="12.75">
      <c r="B188" s="8"/>
      <c r="C188" s="8"/>
      <c r="D188" s="8"/>
      <c r="M188" s="8"/>
      <c r="N188" s="8"/>
    </row>
    <row r="189" ht="12.75">
      <c r="B189" s="8"/>
      <c r="C189" s="8"/>
      <c r="D189" s="8"/>
      <c r="M189" s="8"/>
      <c r="N189" s="8"/>
    </row>
    <row r="190" ht="12.75">
      <c r="B190" s="8"/>
      <c r="C190" s="8"/>
      <c r="D190" s="8"/>
      <c r="M190" s="8"/>
      <c r="N190" s="8"/>
    </row>
    <row r="191" ht="12.75">
      <c r="B191" s="8"/>
      <c r="C191" s="8"/>
      <c r="D191" s="8"/>
      <c r="M191" s="8"/>
      <c r="N191" s="8"/>
    </row>
    <row r="192" ht="12.75">
      <c r="B192" s="8"/>
      <c r="C192" s="8"/>
      <c r="D192" s="8"/>
      <c r="M192" s="8"/>
      <c r="N192" s="8"/>
    </row>
    <row r="193" ht="12.75">
      <c r="B193" s="8"/>
      <c r="C193" s="8"/>
      <c r="D193" s="8"/>
      <c r="M193" s="8"/>
      <c r="N193" s="8"/>
    </row>
    <row r="194" ht="12.75">
      <c r="B194" s="8"/>
      <c r="C194" s="8"/>
      <c r="D194" s="8"/>
      <c r="M194" s="8"/>
      <c r="N194" s="8"/>
    </row>
    <row r="195" ht="12.75">
      <c r="B195" s="8"/>
      <c r="C195" s="8"/>
      <c r="D195" s="8"/>
      <c r="M195" s="8"/>
      <c r="N195" s="8"/>
    </row>
    <row r="196" ht="12.75">
      <c r="B196" s="8"/>
      <c r="C196" s="8"/>
      <c r="D196" s="8"/>
      <c r="M196" s="8"/>
      <c r="N196" s="8"/>
    </row>
    <row r="197" ht="12.75">
      <c r="B197" s="8"/>
      <c r="C197" s="8"/>
      <c r="D197" s="8"/>
      <c r="M197" s="8"/>
      <c r="N197" s="8"/>
    </row>
    <row r="198" ht="12.75">
      <c r="B198" s="8"/>
      <c r="C198" s="8"/>
      <c r="D198" s="8"/>
      <c r="M198" s="8"/>
      <c r="N198" s="8"/>
    </row>
    <row r="199" ht="12.75">
      <c r="B199" s="8"/>
      <c r="C199" s="8"/>
      <c r="D199" s="8"/>
      <c r="M199" s="8"/>
      <c r="N199" s="8"/>
    </row>
    <row r="200" ht="12.75">
      <c r="B200" s="8"/>
      <c r="C200" s="8"/>
      <c r="D200" s="8"/>
      <c r="M200" s="8"/>
      <c r="N200" s="8"/>
    </row>
    <row r="201" ht="12.75">
      <c r="B201" s="8"/>
      <c r="C201" s="8"/>
      <c r="D201" s="8"/>
      <c r="M201" s="8"/>
      <c r="N201" s="8"/>
    </row>
    <row r="202" ht="12.75">
      <c r="B202" s="8"/>
      <c r="C202" s="8"/>
      <c r="D202" s="8"/>
      <c r="M202" s="8"/>
      <c r="N202" s="8"/>
    </row>
    <row r="203" ht="12.75">
      <c r="B203" s="8"/>
      <c r="C203" s="8"/>
      <c r="D203" s="8"/>
      <c r="M203" s="8"/>
      <c r="N203" s="8"/>
    </row>
    <row r="204" ht="12.75">
      <c r="B204" s="8"/>
      <c r="C204" s="8"/>
      <c r="D204" s="8"/>
      <c r="M204" s="8"/>
      <c r="N204" s="8"/>
    </row>
    <row r="205" ht="12.75">
      <c r="B205" s="8"/>
      <c r="C205" s="8"/>
      <c r="D205" s="8"/>
      <c r="M205" s="8"/>
      <c r="N205" s="8"/>
    </row>
    <row r="206" ht="12.75">
      <c r="B206" s="8"/>
      <c r="C206" s="8"/>
      <c r="D206" s="8"/>
      <c r="M206" s="8"/>
      <c r="N206" s="8"/>
    </row>
    <row r="207" ht="12.75">
      <c r="B207" s="8"/>
      <c r="C207" s="8"/>
      <c r="D207" s="8"/>
      <c r="M207" s="8"/>
      <c r="N207" s="8"/>
    </row>
    <row r="208" ht="12.75">
      <c r="B208" s="8"/>
      <c r="C208" s="8"/>
      <c r="D208" s="8"/>
      <c r="M208" s="8"/>
      <c r="N208" s="8"/>
    </row>
    <row r="209" ht="12.75">
      <c r="B209" s="8"/>
      <c r="C209" s="8"/>
      <c r="D209" s="8"/>
      <c r="M209" s="8"/>
      <c r="N209" s="8"/>
    </row>
    <row r="210" ht="12.75">
      <c r="B210" s="8"/>
      <c r="C210" s="8"/>
      <c r="D210" s="8"/>
      <c r="M210" s="8"/>
      <c r="N210" s="8"/>
    </row>
    <row r="211" ht="12.75">
      <c r="B211" s="8"/>
      <c r="C211" s="8"/>
      <c r="D211" s="8"/>
      <c r="M211" s="8"/>
      <c r="N211" s="8"/>
    </row>
    <row r="212" ht="12.75">
      <c r="B212" s="8"/>
      <c r="C212" s="8"/>
      <c r="D212" s="8"/>
      <c r="M212" s="8"/>
      <c r="N212" s="8"/>
    </row>
    <row r="213" ht="12.75">
      <c r="B213" s="8"/>
      <c r="C213" s="8"/>
      <c r="D213" s="8"/>
      <c r="M213" s="8"/>
      <c r="N213" s="8"/>
    </row>
    <row r="214" ht="12.75">
      <c r="B214" s="8"/>
      <c r="C214" s="8"/>
      <c r="D214" s="8"/>
      <c r="M214" s="8"/>
      <c r="N214" s="8"/>
    </row>
    <row r="215" ht="12.75">
      <c r="B215" s="8"/>
      <c r="C215" s="8"/>
      <c r="D215" s="8"/>
      <c r="M215" s="8"/>
      <c r="N215" s="8"/>
    </row>
    <row r="216" ht="12.75">
      <c r="B216" s="8"/>
      <c r="C216" s="8"/>
      <c r="D216" s="8"/>
      <c r="M216" s="8"/>
      <c r="N216" s="8"/>
    </row>
    <row r="217" ht="12.75">
      <c r="B217" s="8"/>
      <c r="C217" s="8"/>
      <c r="D217" s="8"/>
      <c r="M217" s="8"/>
      <c r="N217" s="8"/>
    </row>
    <row r="218" ht="12.75">
      <c r="B218" s="8"/>
      <c r="C218" s="8"/>
      <c r="D218" s="8"/>
      <c r="M218" s="8"/>
      <c r="N218" s="8"/>
    </row>
    <row r="219" ht="12.75">
      <c r="B219" s="8"/>
      <c r="C219" s="8"/>
      <c r="D219" s="8"/>
      <c r="M219" s="8"/>
      <c r="N219" s="8"/>
    </row>
    <row r="220" ht="12.75">
      <c r="B220" s="8"/>
      <c r="C220" s="8"/>
      <c r="D220" s="8"/>
      <c r="M220" s="8"/>
      <c r="N220" s="8"/>
    </row>
    <row r="221" ht="12.75">
      <c r="B221" s="8"/>
      <c r="C221" s="8"/>
      <c r="D221" s="8"/>
      <c r="M221" s="8"/>
      <c r="N221" s="8"/>
    </row>
    <row r="222" ht="12.75">
      <c r="B222" s="8"/>
      <c r="C222" s="8"/>
      <c r="D222" s="8"/>
      <c r="M222" s="8"/>
      <c r="N222" s="8"/>
    </row>
    <row r="223" ht="12.75">
      <c r="B223" s="8"/>
      <c r="C223" s="8"/>
      <c r="D223" s="8"/>
      <c r="M223" s="8"/>
      <c r="N223" s="8"/>
    </row>
    <row r="224" ht="12.75">
      <c r="B224" s="8"/>
      <c r="C224" s="8"/>
      <c r="D224" s="8"/>
      <c r="M224" s="8"/>
      <c r="N224" s="8"/>
    </row>
    <row r="225" ht="12.75">
      <c r="B225" s="8"/>
      <c r="C225" s="8"/>
      <c r="D225" s="8"/>
      <c r="M225" s="8"/>
      <c r="N225" s="8"/>
    </row>
    <row r="226" ht="12.75">
      <c r="B226" s="8"/>
      <c r="C226" s="8"/>
      <c r="D226" s="8"/>
      <c r="M226" s="8"/>
      <c r="N226" s="8"/>
    </row>
    <row r="227" ht="12.75">
      <c r="B227" s="8"/>
      <c r="C227" s="8"/>
      <c r="D227" s="8"/>
      <c r="M227" s="8"/>
      <c r="N227" s="8"/>
    </row>
    <row r="228" ht="12.75">
      <c r="B228" s="8"/>
      <c r="C228" s="8"/>
      <c r="D228" s="8"/>
      <c r="M228" s="8"/>
      <c r="N228" s="8"/>
    </row>
    <row r="229" ht="12.75">
      <c r="B229" s="8"/>
      <c r="C229" s="8"/>
      <c r="D229" s="8"/>
      <c r="M229" s="8"/>
      <c r="N229" s="8"/>
    </row>
    <row r="230" ht="12.75">
      <c r="B230" s="8"/>
      <c r="C230" s="8"/>
      <c r="D230" s="8"/>
      <c r="M230" s="8"/>
      <c r="N230" s="8"/>
    </row>
    <row r="231" ht="12.75">
      <c r="B231" s="8"/>
      <c r="C231" s="8"/>
      <c r="D231" s="8"/>
      <c r="M231" s="8"/>
      <c r="N231" s="8"/>
    </row>
    <row r="232" ht="12.75">
      <c r="B232" s="8"/>
      <c r="C232" s="8"/>
      <c r="D232" s="8"/>
      <c r="M232" s="8"/>
      <c r="N232" s="8"/>
    </row>
    <row r="233" ht="12.75">
      <c r="B233" s="8"/>
      <c r="C233" s="8"/>
      <c r="D233" s="8"/>
      <c r="M233" s="8"/>
      <c r="N233" s="8"/>
    </row>
    <row r="234" ht="12.75">
      <c r="B234" s="8"/>
      <c r="C234" s="8"/>
      <c r="D234" s="8"/>
      <c r="M234" s="8"/>
      <c r="N234" s="8"/>
    </row>
    <row r="235" ht="12.75">
      <c r="B235" s="8"/>
      <c r="C235" s="8"/>
      <c r="D235" s="8"/>
      <c r="M235" s="8"/>
      <c r="N235" s="8"/>
    </row>
    <row r="236" ht="12.75">
      <c r="B236" s="8"/>
      <c r="C236" s="8"/>
      <c r="D236" s="8"/>
      <c r="M236" s="8"/>
      <c r="N236" s="8"/>
    </row>
    <row r="237" ht="12.75">
      <c r="B237" s="8"/>
      <c r="C237" s="8"/>
      <c r="D237" s="8"/>
      <c r="M237" s="8"/>
      <c r="N237" s="8"/>
    </row>
    <row r="238" ht="12.75">
      <c r="B238" s="8"/>
      <c r="C238" s="8"/>
      <c r="D238" s="8"/>
      <c r="M238" s="8"/>
      <c r="N238" s="8"/>
    </row>
    <row r="239" ht="12.75">
      <c r="B239" s="8"/>
      <c r="C239" s="8"/>
      <c r="D239" s="8"/>
      <c r="M239" s="8"/>
      <c r="N239" s="8"/>
    </row>
    <row r="240" ht="12.75">
      <c r="B240" s="8"/>
      <c r="C240" s="8"/>
      <c r="D240" s="8"/>
      <c r="M240" s="8"/>
      <c r="N240" s="8"/>
    </row>
    <row r="241" ht="12.75">
      <c r="B241" s="8"/>
      <c r="C241" s="8"/>
      <c r="D241" s="8"/>
      <c r="M241" s="8"/>
      <c r="N241" s="8"/>
    </row>
    <row r="242" ht="12.75">
      <c r="B242" s="8"/>
      <c r="C242" s="8"/>
      <c r="D242" s="8"/>
      <c r="M242" s="8"/>
      <c r="N242" s="8"/>
    </row>
    <row r="243" ht="12.75">
      <c r="B243" s="8"/>
      <c r="C243" s="8"/>
      <c r="D243" s="8"/>
      <c r="M243" s="8"/>
      <c r="N243" s="8"/>
    </row>
    <row r="244" ht="12.75">
      <c r="B244" s="8"/>
      <c r="C244" s="8"/>
      <c r="D244" s="8"/>
      <c r="M244" s="8"/>
      <c r="N244" s="8"/>
    </row>
    <row r="245" ht="12.75">
      <c r="B245" s="8"/>
      <c r="C245" s="8"/>
      <c r="D245" s="8"/>
      <c r="M245" s="8"/>
      <c r="N245" s="8"/>
    </row>
    <row r="246" ht="12.75">
      <c r="B246" s="8"/>
      <c r="C246" s="8"/>
      <c r="D246" s="8"/>
      <c r="M246" s="8"/>
      <c r="N246" s="8"/>
    </row>
    <row r="247" ht="12.75">
      <c r="B247" s="8"/>
      <c r="C247" s="8"/>
      <c r="D247" s="8"/>
      <c r="M247" s="8"/>
      <c r="N247" s="8"/>
    </row>
    <row r="248" ht="12.75">
      <c r="B248" s="8"/>
      <c r="C248" s="8"/>
      <c r="D248" s="8"/>
      <c r="M248" s="8"/>
      <c r="N248" s="8"/>
    </row>
    <row r="249" ht="12.75">
      <c r="B249" s="8"/>
      <c r="C249" s="8"/>
      <c r="D249" s="8"/>
      <c r="M249" s="8"/>
      <c r="N249" s="8"/>
    </row>
    <row r="250" ht="12.75">
      <c r="B250" s="8"/>
      <c r="C250" s="8"/>
      <c r="D250" s="8"/>
      <c r="M250" s="8"/>
      <c r="N250" s="8"/>
    </row>
    <row r="251" ht="12.75">
      <c r="B251" s="8"/>
      <c r="C251" s="8"/>
      <c r="D251" s="8"/>
      <c r="M251" s="8"/>
      <c r="N251" s="8"/>
    </row>
    <row r="252" ht="12.75">
      <c r="B252" s="8"/>
      <c r="C252" s="8"/>
      <c r="D252" s="8"/>
      <c r="M252" s="8"/>
      <c r="N252" s="8"/>
    </row>
    <row r="253" ht="12.75">
      <c r="B253" s="8"/>
      <c r="C253" s="8"/>
      <c r="D253" s="8"/>
      <c r="M253" s="8"/>
      <c r="N253" s="8"/>
    </row>
    <row r="254" ht="12.75">
      <c r="B254" s="8"/>
      <c r="C254" s="8"/>
      <c r="D254" s="8"/>
      <c r="M254" s="8"/>
      <c r="N254" s="8"/>
    </row>
    <row r="255" ht="12.75">
      <c r="B255" s="8"/>
      <c r="C255" s="8"/>
      <c r="D255" s="8"/>
      <c r="M255" s="8"/>
      <c r="N255" s="8"/>
    </row>
    <row r="256" ht="12.75">
      <c r="B256" s="8"/>
      <c r="C256" s="8"/>
      <c r="D256" s="8"/>
      <c r="M256" s="8"/>
      <c r="N256" s="8"/>
    </row>
    <row r="257" ht="12.75">
      <c r="B257" s="8"/>
      <c r="C257" s="8"/>
      <c r="D257" s="8"/>
      <c r="M257" s="8"/>
      <c r="N257" s="8"/>
    </row>
    <row r="258" ht="12.75">
      <c r="B258" s="8"/>
      <c r="C258" s="8"/>
      <c r="D258" s="8"/>
      <c r="M258" s="8"/>
      <c r="N258" s="8"/>
    </row>
    <row r="259" ht="12.75">
      <c r="B259" s="8"/>
      <c r="C259" s="8"/>
      <c r="D259" s="8"/>
      <c r="M259" s="8"/>
      <c r="N259" s="8"/>
    </row>
    <row r="260" ht="12.75">
      <c r="B260" s="8"/>
      <c r="C260" s="8"/>
      <c r="D260" s="8"/>
      <c r="M260" s="8"/>
      <c r="N260" s="8"/>
    </row>
    <row r="261" ht="12.75">
      <c r="B261" s="8"/>
      <c r="C261" s="8"/>
      <c r="D261" s="8"/>
      <c r="M261" s="8"/>
      <c r="N261" s="8"/>
    </row>
    <row r="262" ht="12.75">
      <c r="B262" s="8"/>
      <c r="C262" s="8"/>
      <c r="D262" s="8"/>
      <c r="M262" s="8"/>
      <c r="N262" s="8"/>
    </row>
    <row r="263" ht="12.75">
      <c r="B263" s="8"/>
      <c r="C263" s="8"/>
      <c r="D263" s="8"/>
      <c r="M263" s="8"/>
      <c r="N263" s="8"/>
    </row>
    <row r="264" ht="12.75">
      <c r="B264" s="8"/>
      <c r="C264" s="8"/>
      <c r="D264" s="8"/>
      <c r="M264" s="8"/>
      <c r="N264" s="8"/>
    </row>
    <row r="265" ht="12.75">
      <c r="B265" s="8"/>
      <c r="C265" s="8"/>
      <c r="D265" s="8"/>
      <c r="M265" s="8"/>
      <c r="N265" s="8"/>
    </row>
    <row r="266" ht="12.75">
      <c r="B266" s="8"/>
      <c r="C266" s="8"/>
      <c r="D266" s="8"/>
      <c r="M266" s="8"/>
      <c r="N266" s="8"/>
    </row>
    <row r="267" ht="12.75">
      <c r="B267" s="8"/>
      <c r="C267" s="8"/>
      <c r="D267" s="8"/>
      <c r="M267" s="8"/>
      <c r="N267" s="8"/>
    </row>
    <row r="268" ht="12.75">
      <c r="B268" s="8"/>
      <c r="C268" s="8"/>
      <c r="D268" s="8"/>
      <c r="M268" s="8"/>
      <c r="N268" s="8"/>
    </row>
    <row r="269" ht="12.75">
      <c r="B269" s="8"/>
      <c r="C269" s="8"/>
      <c r="D269" s="8"/>
      <c r="M269" s="8"/>
      <c r="N269" s="8"/>
    </row>
    <row r="270" ht="12.75">
      <c r="B270" s="8"/>
      <c r="C270" s="8"/>
      <c r="D270" s="8"/>
      <c r="M270" s="8"/>
      <c r="N270" s="8"/>
    </row>
    <row r="271" ht="12.75">
      <c r="B271" s="8"/>
      <c r="C271" s="8"/>
      <c r="D271" s="8"/>
      <c r="M271" s="8"/>
      <c r="N271" s="8"/>
    </row>
    <row r="272" ht="12.75">
      <c r="B272" s="8"/>
      <c r="C272" s="8"/>
      <c r="D272" s="8"/>
      <c r="M272" s="8"/>
      <c r="N272" s="8"/>
    </row>
    <row r="273" ht="12.75">
      <c r="B273" s="8"/>
      <c r="C273" s="8"/>
      <c r="D273" s="8"/>
      <c r="M273" s="8"/>
      <c r="N273" s="8"/>
    </row>
    <row r="274" ht="12.75">
      <c r="B274" s="8"/>
      <c r="C274" s="8"/>
      <c r="D274" s="8"/>
      <c r="M274" s="8"/>
      <c r="N274" s="8"/>
    </row>
    <row r="275" ht="12.75">
      <c r="B275" s="8"/>
      <c r="C275" s="8"/>
      <c r="D275" s="8"/>
      <c r="M275" s="8"/>
      <c r="N275" s="8"/>
    </row>
    <row r="276" ht="12.75">
      <c r="B276" s="8"/>
      <c r="C276" s="8"/>
      <c r="D276" s="8"/>
      <c r="M276" s="8"/>
      <c r="N276" s="8"/>
    </row>
    <row r="277" ht="12.75">
      <c r="B277" s="8"/>
      <c r="C277" s="8"/>
      <c r="D277" s="8"/>
      <c r="M277" s="8"/>
      <c r="N277" s="8"/>
    </row>
    <row r="278" ht="12.75">
      <c r="B278" s="8"/>
      <c r="C278" s="8"/>
      <c r="D278" s="8"/>
      <c r="M278" s="8"/>
      <c r="N278" s="8"/>
    </row>
    <row r="279" ht="12.75">
      <c r="B279" s="8"/>
      <c r="C279" s="8"/>
      <c r="D279" s="8"/>
      <c r="M279" s="8"/>
      <c r="N279" s="8"/>
    </row>
    <row r="280" ht="12.75">
      <c r="B280" s="8"/>
      <c r="C280" s="8"/>
      <c r="D280" s="8"/>
      <c r="M280" s="8"/>
      <c r="N280" s="8"/>
    </row>
    <row r="281" ht="12.75">
      <c r="B281" s="8"/>
      <c r="C281" s="8"/>
      <c r="D281" s="8"/>
      <c r="M281" s="8"/>
      <c r="N281" s="8"/>
    </row>
    <row r="282" ht="12.75">
      <c r="B282" s="8"/>
      <c r="C282" s="8"/>
      <c r="D282" s="8"/>
      <c r="M282" s="8"/>
      <c r="N282" s="8"/>
    </row>
    <row r="283" ht="12.75">
      <c r="B283" s="8"/>
      <c r="C283" s="8"/>
      <c r="D283" s="8"/>
      <c r="M283" s="8"/>
      <c r="N283" s="8"/>
    </row>
    <row r="284" ht="12.75">
      <c r="B284" s="8"/>
      <c r="C284" s="8"/>
      <c r="D284" s="8"/>
      <c r="M284" s="8"/>
      <c r="N284" s="8"/>
    </row>
    <row r="285" ht="12.75">
      <c r="B285" s="8"/>
      <c r="C285" s="8"/>
      <c r="D285" s="8"/>
      <c r="M285" s="8"/>
      <c r="N285" s="8"/>
    </row>
    <row r="286" ht="12.75">
      <c r="B286" s="8"/>
      <c r="C286" s="8"/>
      <c r="D286" s="8"/>
      <c r="M286" s="8"/>
      <c r="N286" s="8"/>
    </row>
    <row r="287" ht="12.75">
      <c r="B287" s="8"/>
      <c r="C287" s="8"/>
      <c r="D287" s="8"/>
      <c r="M287" s="8"/>
      <c r="N287" s="8"/>
    </row>
    <row r="288" ht="12.75">
      <c r="B288" s="8"/>
      <c r="C288" s="8"/>
      <c r="D288" s="8"/>
      <c r="M288" s="8"/>
      <c r="N288" s="8"/>
    </row>
    <row r="289" ht="12.75">
      <c r="B289" s="8"/>
      <c r="C289" s="8"/>
      <c r="D289" s="8"/>
      <c r="M289" s="8"/>
      <c r="N289" s="8"/>
    </row>
    <row r="290" ht="12.75">
      <c r="B290" s="8"/>
      <c r="C290" s="8"/>
      <c r="D290" s="8"/>
      <c r="M290" s="8"/>
      <c r="N290" s="8"/>
    </row>
    <row r="291" ht="12.75">
      <c r="B291" s="8"/>
      <c r="C291" s="8"/>
      <c r="D291" s="8"/>
      <c r="M291" s="8"/>
      <c r="N291" s="8"/>
    </row>
    <row r="292" ht="12.75">
      <c r="B292" s="8"/>
      <c r="C292" s="8"/>
      <c r="D292" s="8"/>
      <c r="M292" s="8"/>
      <c r="N292" s="8"/>
    </row>
    <row r="293" ht="12.75">
      <c r="B293" s="8"/>
      <c r="C293" s="8"/>
      <c r="D293" s="8"/>
      <c r="M293" s="8"/>
      <c r="N293" s="8"/>
    </row>
    <row r="294" ht="12.75">
      <c r="B294" s="8"/>
      <c r="C294" s="8"/>
      <c r="D294" s="8"/>
      <c r="M294" s="8"/>
      <c r="N294" s="8"/>
    </row>
    <row r="295" ht="12.75">
      <c r="B295" s="8"/>
      <c r="C295" s="8"/>
      <c r="D295" s="8"/>
      <c r="M295" s="8"/>
      <c r="N295" s="8"/>
    </row>
    <row r="296" ht="12.75">
      <c r="B296" s="8"/>
      <c r="C296" s="8"/>
      <c r="D296" s="8"/>
      <c r="M296" s="8"/>
      <c r="N296" s="8"/>
    </row>
    <row r="297" ht="12.75">
      <c r="B297" s="8"/>
      <c r="C297" s="8"/>
      <c r="D297" s="8"/>
      <c r="M297" s="8"/>
      <c r="N297" s="8"/>
    </row>
    <row r="298" ht="12.75">
      <c r="B298" s="8"/>
      <c r="C298" s="8"/>
      <c r="D298" s="8"/>
      <c r="M298" s="8"/>
      <c r="N298" s="8"/>
    </row>
    <row r="299" ht="12.75">
      <c r="B299" s="8"/>
      <c r="C299" s="8"/>
      <c r="D299" s="8"/>
      <c r="M299" s="8"/>
      <c r="N299" s="8"/>
    </row>
    <row r="300" ht="12.75">
      <c r="B300" s="8"/>
      <c r="C300" s="8"/>
      <c r="D300" s="8"/>
      <c r="M300" s="8"/>
      <c r="N300" s="8"/>
    </row>
    <row r="301" ht="12.75">
      <c r="B301" s="8"/>
      <c r="C301" s="8"/>
      <c r="D301" s="8"/>
      <c r="M301" s="8"/>
      <c r="N301" s="8"/>
    </row>
    <row r="302" ht="12.75">
      <c r="B302" s="8"/>
      <c r="C302" s="8"/>
      <c r="D302" s="8"/>
      <c r="M302" s="8"/>
      <c r="N302" s="8"/>
    </row>
    <row r="303" ht="12.75">
      <c r="B303" s="8"/>
      <c r="C303" s="8"/>
      <c r="D303" s="8"/>
      <c r="M303" s="8"/>
      <c r="N303" s="8"/>
    </row>
    <row r="304" ht="12.75">
      <c r="B304" s="8"/>
      <c r="C304" s="8"/>
      <c r="D304" s="8"/>
      <c r="M304" s="8"/>
      <c r="N304" s="8"/>
    </row>
    <row r="305" ht="12.75">
      <c r="B305" s="8"/>
      <c r="C305" s="8"/>
      <c r="D305" s="8"/>
      <c r="M305" s="8"/>
      <c r="N305" s="8"/>
    </row>
    <row r="306" ht="12.75">
      <c r="B306" s="8"/>
      <c r="C306" s="8"/>
      <c r="D306" s="8"/>
      <c r="M306" s="8"/>
      <c r="N306" s="8"/>
    </row>
    <row r="307" ht="12.75">
      <c r="B307" s="8"/>
      <c r="C307" s="8"/>
      <c r="D307" s="8"/>
      <c r="M307" s="8"/>
      <c r="N307" s="8"/>
    </row>
    <row r="308" ht="12.75">
      <c r="B308" s="8"/>
      <c r="C308" s="8"/>
      <c r="D308" s="8"/>
      <c r="M308" s="8"/>
      <c r="N308" s="8"/>
    </row>
    <row r="309" ht="12.75">
      <c r="B309" s="8"/>
      <c r="C309" s="8"/>
      <c r="D309" s="8"/>
      <c r="M309" s="8"/>
      <c r="N309" s="8"/>
    </row>
    <row r="310" ht="12.75">
      <c r="B310" s="8"/>
      <c r="C310" s="8"/>
      <c r="D310" s="8"/>
      <c r="M310" s="8"/>
      <c r="N310" s="8"/>
    </row>
    <row r="311" ht="12.75">
      <c r="B311" s="8"/>
      <c r="C311" s="8"/>
      <c r="D311" s="8"/>
      <c r="M311" s="8"/>
      <c r="N311" s="8"/>
    </row>
    <row r="312" ht="12.75">
      <c r="B312" s="8"/>
      <c r="C312" s="8"/>
      <c r="D312" s="8"/>
      <c r="M312" s="8"/>
      <c r="N312" s="8"/>
    </row>
    <row r="313" ht="12.75">
      <c r="B313" s="8"/>
      <c r="C313" s="8"/>
      <c r="D313" s="8"/>
      <c r="M313" s="8"/>
      <c r="N313" s="8"/>
    </row>
    <row r="314" ht="12.75">
      <c r="B314" s="8"/>
      <c r="C314" s="8"/>
      <c r="D314" s="8"/>
      <c r="M314" s="8"/>
      <c r="N314" s="8"/>
    </row>
    <row r="315" ht="12.75">
      <c r="B315" s="8"/>
      <c r="C315" s="8"/>
      <c r="D315" s="8"/>
      <c r="M315" s="8"/>
      <c r="N315" s="8"/>
    </row>
    <row r="316" ht="12.75">
      <c r="B316" s="8"/>
      <c r="C316" s="8"/>
      <c r="D316" s="8"/>
      <c r="M316" s="8"/>
      <c r="N316" s="8"/>
    </row>
    <row r="317" ht="12.75">
      <c r="B317" s="8"/>
      <c r="C317" s="8"/>
      <c r="D317" s="8"/>
      <c r="M317" s="8"/>
      <c r="N317" s="8"/>
    </row>
    <row r="318" ht="12.75">
      <c r="B318" s="8"/>
      <c r="C318" s="8"/>
      <c r="D318" s="8"/>
      <c r="M318" s="8"/>
      <c r="N318" s="8"/>
    </row>
    <row r="319" ht="12.75">
      <c r="B319" s="8"/>
      <c r="C319" s="8"/>
      <c r="D319" s="8"/>
      <c r="M319" s="8"/>
      <c r="N319" s="8"/>
    </row>
    <row r="320" ht="12.75">
      <c r="B320" s="8"/>
      <c r="C320" s="8"/>
      <c r="D320" s="8"/>
      <c r="M320" s="8"/>
      <c r="N320" s="8"/>
    </row>
    <row r="321" ht="12.75">
      <c r="B321" s="8"/>
      <c r="C321" s="8"/>
      <c r="D321" s="8"/>
      <c r="M321" s="8"/>
      <c r="N321" s="8"/>
    </row>
    <row r="322" ht="12.75">
      <c r="B322" s="8"/>
      <c r="C322" s="8"/>
      <c r="D322" s="8"/>
      <c r="M322" s="8"/>
      <c r="N322" s="8"/>
    </row>
    <row r="323" ht="12.75">
      <c r="B323" s="8"/>
      <c r="C323" s="8"/>
      <c r="D323" s="8"/>
      <c r="M323" s="8"/>
      <c r="N323" s="8"/>
    </row>
    <row r="324" ht="12.75">
      <c r="B324" s="8"/>
      <c r="C324" s="8"/>
      <c r="D324" s="8"/>
      <c r="M324" s="8"/>
      <c r="N324" s="8"/>
    </row>
    <row r="325" ht="12.75">
      <c r="B325" s="8"/>
      <c r="C325" s="8"/>
      <c r="D325" s="8"/>
      <c r="M325" s="8"/>
      <c r="N325" s="8"/>
    </row>
    <row r="326" ht="12.75">
      <c r="B326" s="8"/>
      <c r="C326" s="8"/>
      <c r="D326" s="8"/>
      <c r="M326" s="8"/>
      <c r="N326" s="8"/>
    </row>
    <row r="327" ht="12.75">
      <c r="B327" s="8"/>
      <c r="C327" s="8"/>
      <c r="D327" s="8"/>
      <c r="M327" s="8"/>
      <c r="N327" s="8"/>
    </row>
    <row r="328" ht="12.75">
      <c r="B328" s="8"/>
      <c r="C328" s="8"/>
      <c r="D328" s="8"/>
      <c r="M328" s="8"/>
      <c r="N328" s="8"/>
    </row>
    <row r="329" ht="12.75">
      <c r="B329" s="8"/>
      <c r="C329" s="8"/>
      <c r="D329" s="8"/>
      <c r="M329" s="8"/>
      <c r="N329" s="8"/>
    </row>
    <row r="330" ht="12.75">
      <c r="B330" s="8"/>
      <c r="C330" s="8"/>
      <c r="D330" s="8"/>
      <c r="M330" s="8"/>
      <c r="N330" s="8"/>
    </row>
    <row r="331" ht="12.75">
      <c r="B331" s="8"/>
      <c r="C331" s="8"/>
      <c r="D331" s="8"/>
      <c r="M331" s="8"/>
      <c r="N331" s="8"/>
    </row>
    <row r="332" ht="12.75">
      <c r="B332" s="8"/>
      <c r="C332" s="8"/>
      <c r="D332" s="8"/>
      <c r="M332" s="8"/>
      <c r="N332" s="8"/>
    </row>
    <row r="333" ht="12.75">
      <c r="B333" s="8"/>
      <c r="C333" s="8"/>
      <c r="D333" s="8"/>
      <c r="M333" s="8"/>
      <c r="N333" s="8"/>
    </row>
    <row r="334" ht="12.75">
      <c r="B334" s="8"/>
      <c r="C334" s="8"/>
      <c r="D334" s="8"/>
      <c r="M334" s="8"/>
      <c r="N334" s="8"/>
    </row>
    <row r="335" ht="12.75">
      <c r="B335" s="8"/>
      <c r="C335" s="8"/>
      <c r="D335" s="8"/>
      <c r="M335" s="8"/>
      <c r="N335" s="8"/>
    </row>
    <row r="336" ht="12.75">
      <c r="B336" s="8"/>
      <c r="C336" s="8"/>
      <c r="D336" s="8"/>
      <c r="M336" s="8"/>
      <c r="N336" s="8"/>
    </row>
    <row r="337" ht="12.75">
      <c r="B337" s="8"/>
      <c r="C337" s="8"/>
      <c r="D337" s="8"/>
      <c r="M337" s="8"/>
      <c r="N337" s="8"/>
    </row>
    <row r="338" ht="12.75">
      <c r="B338" s="8"/>
      <c r="C338" s="8"/>
      <c r="D338" s="8"/>
      <c r="M338" s="8"/>
      <c r="N338" s="8"/>
    </row>
    <row r="339" ht="12.75">
      <c r="B339" s="8"/>
      <c r="C339" s="8"/>
      <c r="D339" s="8"/>
      <c r="M339" s="8"/>
      <c r="N339" s="8"/>
    </row>
    <row r="340" ht="12.75">
      <c r="B340" s="8"/>
      <c r="C340" s="8"/>
      <c r="D340" s="8"/>
      <c r="M340" s="8"/>
      <c r="N340" s="8"/>
    </row>
    <row r="341" ht="12.75">
      <c r="B341" s="8"/>
      <c r="C341" s="8"/>
      <c r="D341" s="8"/>
      <c r="M341" s="8"/>
      <c r="N341" s="8"/>
    </row>
    <row r="342" ht="12.75">
      <c r="B342" s="8"/>
      <c r="C342" s="8"/>
      <c r="D342" s="8"/>
      <c r="M342" s="8"/>
      <c r="N342" s="8"/>
    </row>
    <row r="343" ht="12.75">
      <c r="B343" s="8"/>
      <c r="C343" s="8"/>
      <c r="D343" s="8"/>
      <c r="M343" s="8"/>
      <c r="N343" s="8"/>
    </row>
    <row r="344" ht="12.75">
      <c r="B344" s="8"/>
      <c r="C344" s="8"/>
      <c r="D344" s="8"/>
      <c r="M344" s="8"/>
      <c r="N344" s="8"/>
    </row>
    <row r="345" ht="12.75">
      <c r="B345" s="8"/>
      <c r="C345" s="8"/>
      <c r="D345" s="8"/>
      <c r="M345" s="8"/>
      <c r="N345" s="8"/>
    </row>
    <row r="346" ht="12.75">
      <c r="B346" s="8"/>
      <c r="C346" s="8"/>
      <c r="D346" s="8"/>
      <c r="M346" s="8"/>
      <c r="N346" s="8"/>
    </row>
    <row r="347" ht="12.75">
      <c r="B347" s="8"/>
      <c r="C347" s="8"/>
      <c r="D347" s="8"/>
      <c r="M347" s="8"/>
      <c r="N347" s="8"/>
    </row>
    <row r="348" ht="12.75">
      <c r="B348" s="8"/>
      <c r="C348" s="8"/>
      <c r="D348" s="8"/>
      <c r="M348" s="8"/>
      <c r="N348" s="8"/>
    </row>
    <row r="349" ht="12.75">
      <c r="B349" s="8"/>
      <c r="C349" s="8"/>
      <c r="D349" s="8"/>
      <c r="M349" s="8"/>
      <c r="N349" s="8"/>
    </row>
    <row r="350" ht="12.75">
      <c r="B350" s="8"/>
      <c r="C350" s="8"/>
      <c r="D350" s="8"/>
      <c r="M350" s="8"/>
      <c r="N350" s="8"/>
    </row>
    <row r="351" ht="12.75">
      <c r="B351" s="8"/>
      <c r="C351" s="8"/>
      <c r="D351" s="8"/>
      <c r="M351" s="8"/>
      <c r="N351" s="8"/>
    </row>
    <row r="352" ht="12.75">
      <c r="B352" s="8"/>
      <c r="C352" s="8"/>
      <c r="D352" s="8"/>
      <c r="M352" s="8"/>
      <c r="N352" s="8"/>
    </row>
    <row r="353" ht="12.75">
      <c r="B353" s="8"/>
      <c r="C353" s="8"/>
      <c r="D353" s="8"/>
      <c r="M353" s="8"/>
      <c r="N353" s="8"/>
    </row>
    <row r="354" ht="12.75">
      <c r="B354" s="8"/>
      <c r="C354" s="8"/>
      <c r="D354" s="8"/>
      <c r="M354" s="8"/>
      <c r="N354" s="8"/>
    </row>
    <row r="355" ht="12.75">
      <c r="B355" s="8"/>
      <c r="C355" s="8"/>
      <c r="D355" s="8"/>
      <c r="M355" s="8"/>
      <c r="N355" s="8"/>
    </row>
    <row r="356" ht="12.75">
      <c r="B356" s="8"/>
      <c r="C356" s="8"/>
      <c r="D356" s="8"/>
      <c r="M356" s="8"/>
      <c r="N356" s="8"/>
    </row>
    <row r="357" ht="12.75">
      <c r="B357" s="8"/>
      <c r="C357" s="8"/>
      <c r="D357" s="8"/>
      <c r="M357" s="8"/>
      <c r="N357" s="8"/>
    </row>
    <row r="358" ht="12.75">
      <c r="B358" s="8"/>
      <c r="C358" s="8"/>
      <c r="D358" s="8"/>
      <c r="M358" s="8"/>
      <c r="N358" s="8"/>
    </row>
    <row r="359" ht="12.75">
      <c r="B359" s="8"/>
      <c r="C359" s="8"/>
      <c r="D359" s="8"/>
      <c r="M359" s="8"/>
      <c r="N359" s="8"/>
    </row>
    <row r="360" ht="12.75">
      <c r="B360" s="8"/>
      <c r="C360" s="8"/>
      <c r="D360" s="8"/>
      <c r="M360" s="8"/>
      <c r="N360" s="8"/>
    </row>
    <row r="361" ht="12.75">
      <c r="B361" s="8"/>
      <c r="C361" s="8"/>
      <c r="D361" s="8"/>
      <c r="M361" s="8"/>
      <c r="N361" s="8"/>
    </row>
    <row r="362" ht="12.75">
      <c r="B362" s="8"/>
      <c r="C362" s="8"/>
      <c r="D362" s="8"/>
      <c r="M362" s="8"/>
      <c r="N362" s="8"/>
    </row>
    <row r="363" ht="12.75">
      <c r="B363" s="8"/>
      <c r="C363" s="8"/>
      <c r="D363" s="8"/>
      <c r="M363" s="8"/>
      <c r="N363" s="8"/>
    </row>
    <row r="364" ht="12.75">
      <c r="B364" s="8"/>
      <c r="C364" s="8"/>
      <c r="D364" s="8"/>
      <c r="M364" s="8"/>
      <c r="N364" s="8"/>
    </row>
    <row r="365" ht="12.75">
      <c r="B365" s="8"/>
      <c r="C365" s="8"/>
      <c r="D365" s="8"/>
      <c r="M365" s="8"/>
      <c r="N365" s="8"/>
    </row>
    <row r="366" ht="12.75">
      <c r="B366" s="8"/>
      <c r="C366" s="8"/>
      <c r="D366" s="8"/>
      <c r="M366" s="8"/>
      <c r="N366" s="8"/>
    </row>
    <row r="367" ht="12.75">
      <c r="B367" s="8"/>
      <c r="C367" s="8"/>
      <c r="D367" s="8"/>
      <c r="M367" s="8"/>
      <c r="N367" s="8"/>
    </row>
    <row r="368" ht="12.75">
      <c r="B368" s="8"/>
      <c r="C368" s="8"/>
      <c r="D368" s="8"/>
      <c r="M368" s="8"/>
      <c r="N368" s="8"/>
    </row>
    <row r="369" ht="12.75">
      <c r="B369" s="8"/>
      <c r="C369" s="8"/>
      <c r="D369" s="8"/>
      <c r="M369" s="8"/>
      <c r="N369" s="8"/>
    </row>
    <row r="370" ht="12.75">
      <c r="B370" s="8"/>
      <c r="C370" s="8"/>
      <c r="D370" s="8"/>
      <c r="M370" s="8"/>
      <c r="N370" s="8"/>
    </row>
    <row r="371" ht="12.75">
      <c r="B371" s="8"/>
      <c r="C371" s="8"/>
      <c r="D371" s="8"/>
      <c r="M371" s="8"/>
      <c r="N371" s="8"/>
    </row>
    <row r="372" ht="12.75">
      <c r="B372" s="8"/>
      <c r="C372" s="8"/>
      <c r="D372" s="8"/>
      <c r="M372" s="8"/>
      <c r="N372" s="8"/>
    </row>
    <row r="373" ht="12.75">
      <c r="B373" s="8"/>
      <c r="C373" s="8"/>
      <c r="D373" s="8"/>
      <c r="M373" s="8"/>
      <c r="N373" s="8"/>
    </row>
    <row r="374" ht="12.75">
      <c r="B374" s="8"/>
      <c r="C374" s="8"/>
      <c r="D374" s="8"/>
      <c r="M374" s="8"/>
      <c r="N374" s="8"/>
    </row>
    <row r="375" ht="12.75">
      <c r="B375" s="8"/>
      <c r="C375" s="8"/>
      <c r="D375" s="8"/>
      <c r="M375" s="8"/>
      <c r="N375" s="8"/>
    </row>
    <row r="376" ht="12.75">
      <c r="B376" s="8"/>
      <c r="C376" s="8"/>
      <c r="D376" s="8"/>
      <c r="M376" s="8"/>
      <c r="N376" s="8"/>
    </row>
    <row r="377" ht="12.75">
      <c r="B377" s="8"/>
      <c r="C377" s="8"/>
      <c r="D377" s="8"/>
      <c r="M377" s="8"/>
      <c r="N377" s="8"/>
    </row>
    <row r="378" ht="12.75">
      <c r="B378" s="8"/>
      <c r="C378" s="8"/>
      <c r="D378" s="8"/>
      <c r="M378" s="8"/>
      <c r="N378" s="8"/>
    </row>
    <row r="379" ht="12.75">
      <c r="B379" s="8"/>
      <c r="C379" s="8"/>
      <c r="D379" s="8"/>
      <c r="M379" s="8"/>
      <c r="N379" s="8"/>
    </row>
    <row r="380" ht="12.75">
      <c r="B380" s="8"/>
      <c r="C380" s="8"/>
      <c r="D380" s="8"/>
      <c r="M380" s="8"/>
      <c r="N380" s="8"/>
    </row>
    <row r="381" ht="12.75">
      <c r="B381" s="8"/>
      <c r="C381" s="8"/>
      <c r="D381" s="8"/>
      <c r="M381" s="8"/>
      <c r="N381" s="8"/>
    </row>
    <row r="382" ht="12.75">
      <c r="B382" s="8"/>
      <c r="C382" s="8"/>
      <c r="D382" s="8"/>
      <c r="M382" s="8"/>
      <c r="N382" s="8"/>
    </row>
    <row r="383" ht="12.75">
      <c r="B383" s="8"/>
      <c r="C383" s="8"/>
      <c r="D383" s="8"/>
      <c r="M383" s="8"/>
      <c r="N383" s="8"/>
    </row>
    <row r="384" ht="12.75">
      <c r="B384" s="8"/>
      <c r="C384" s="8"/>
      <c r="D384" s="8"/>
      <c r="M384" s="8"/>
      <c r="N384" s="8"/>
    </row>
    <row r="385" ht="12.75">
      <c r="B385" s="8"/>
      <c r="C385" s="8"/>
      <c r="D385" s="8"/>
      <c r="M385" s="8"/>
      <c r="N385" s="8"/>
    </row>
    <row r="386" ht="12.75">
      <c r="B386" s="8"/>
      <c r="C386" s="8"/>
      <c r="D386" s="8"/>
      <c r="M386" s="8"/>
      <c r="N386" s="8"/>
    </row>
    <row r="387" ht="12.75">
      <c r="B387" s="8"/>
      <c r="C387" s="8"/>
      <c r="D387" s="8"/>
      <c r="M387" s="8"/>
      <c r="N387" s="8"/>
    </row>
    <row r="388" ht="12.75">
      <c r="B388" s="8"/>
      <c r="C388" s="8"/>
      <c r="D388" s="8"/>
      <c r="M388" s="8"/>
      <c r="N388" s="8"/>
    </row>
    <row r="389" ht="12.75">
      <c r="B389" s="8"/>
      <c r="C389" s="8"/>
      <c r="D389" s="8"/>
      <c r="M389" s="8"/>
      <c r="N389" s="8"/>
    </row>
    <row r="390" ht="12.75">
      <c r="B390" s="8"/>
      <c r="C390" s="8"/>
      <c r="D390" s="8"/>
      <c r="M390" s="8"/>
      <c r="N390" s="8"/>
    </row>
    <row r="391" ht="12.75">
      <c r="B391" s="8"/>
      <c r="C391" s="8"/>
      <c r="D391" s="8"/>
      <c r="M391" s="8"/>
      <c r="N391" s="8"/>
    </row>
    <row r="392" ht="12.75">
      <c r="B392" s="8"/>
      <c r="C392" s="8"/>
      <c r="D392" s="8"/>
      <c r="M392" s="8"/>
      <c r="N392" s="8"/>
    </row>
    <row r="393" ht="12.75">
      <c r="B393" s="8"/>
      <c r="C393" s="8"/>
      <c r="D393" s="8"/>
      <c r="M393" s="8"/>
      <c r="N393" s="8"/>
    </row>
    <row r="394" ht="12.75">
      <c r="B394" s="8"/>
      <c r="C394" s="8"/>
      <c r="D394" s="8"/>
      <c r="M394" s="8"/>
      <c r="N394" s="8"/>
    </row>
    <row r="395" ht="12.75">
      <c r="B395" s="8"/>
      <c r="C395" s="8"/>
      <c r="D395" s="8"/>
      <c r="M395" s="8"/>
      <c r="N395" s="8"/>
    </row>
    <row r="396" ht="12.75">
      <c r="B396" s="8"/>
      <c r="C396" s="8"/>
      <c r="D396" s="8"/>
      <c r="M396" s="8"/>
      <c r="N396" s="8"/>
    </row>
    <row r="397" ht="12.75">
      <c r="B397" s="8"/>
      <c r="C397" s="8"/>
      <c r="D397" s="8"/>
      <c r="M397" s="8"/>
      <c r="N397" s="8"/>
    </row>
    <row r="398" ht="12.75">
      <c r="B398" s="8"/>
      <c r="C398" s="8"/>
      <c r="D398" s="8"/>
      <c r="M398" s="8"/>
      <c r="N398" s="8"/>
    </row>
    <row r="399" ht="12.75">
      <c r="B399" s="8"/>
      <c r="C399" s="8"/>
      <c r="D399" s="8"/>
      <c r="M399" s="8"/>
      <c r="N399" s="8"/>
    </row>
    <row r="400" ht="12.75">
      <c r="B400" s="8"/>
      <c r="C400" s="8"/>
      <c r="D400" s="8"/>
      <c r="M400" s="8"/>
      <c r="N400" s="8"/>
    </row>
    <row r="401" ht="12.75">
      <c r="B401" s="8"/>
      <c r="C401" s="8"/>
      <c r="D401" s="8"/>
      <c r="M401" s="8"/>
      <c r="N401" s="8"/>
    </row>
    <row r="402" ht="12.75">
      <c r="B402" s="8"/>
      <c r="C402" s="8"/>
      <c r="D402" s="8"/>
      <c r="M402" s="8"/>
      <c r="N402" s="8"/>
    </row>
    <row r="403" ht="12.75">
      <c r="B403" s="8"/>
      <c r="C403" s="8"/>
      <c r="D403" s="8"/>
      <c r="M403" s="8"/>
      <c r="N403" s="8"/>
    </row>
    <row r="404" ht="12.75">
      <c r="B404" s="8"/>
      <c r="C404" s="8"/>
      <c r="D404" s="8"/>
      <c r="M404" s="8"/>
      <c r="N404" s="8"/>
    </row>
    <row r="405" ht="12.75">
      <c r="B405" s="8"/>
      <c r="C405" s="8"/>
      <c r="D405" s="8"/>
      <c r="M405" s="8"/>
      <c r="N405" s="8"/>
    </row>
    <row r="406" ht="12.75">
      <c r="B406" s="8"/>
      <c r="C406" s="8"/>
      <c r="D406" s="8"/>
      <c r="M406" s="8"/>
      <c r="N406" s="8"/>
    </row>
    <row r="407" ht="12.75">
      <c r="B407" s="8"/>
      <c r="C407" s="8"/>
      <c r="D407" s="8"/>
      <c r="M407" s="8"/>
      <c r="N407" s="8"/>
    </row>
    <row r="408" ht="12.75">
      <c r="B408" s="8"/>
      <c r="C408" s="8"/>
      <c r="D408" s="8"/>
      <c r="M408" s="8"/>
      <c r="N408" s="8"/>
    </row>
    <row r="409" ht="12.75">
      <c r="B409" s="8"/>
      <c r="C409" s="8"/>
      <c r="D409" s="8"/>
      <c r="M409" s="8"/>
      <c r="N409" s="8"/>
    </row>
    <row r="410" ht="12.75">
      <c r="B410" s="8"/>
      <c r="C410" s="8"/>
      <c r="D410" s="8"/>
      <c r="M410" s="8"/>
      <c r="N410" s="8"/>
    </row>
    <row r="411" ht="12.75">
      <c r="B411" s="8"/>
      <c r="C411" s="8"/>
      <c r="D411" s="8"/>
      <c r="M411" s="8"/>
      <c r="N411" s="8"/>
    </row>
    <row r="412" ht="12.75">
      <c r="B412" s="8"/>
      <c r="C412" s="8"/>
      <c r="D412" s="8"/>
      <c r="M412" s="8"/>
      <c r="N412" s="8"/>
    </row>
    <row r="413" ht="12.75">
      <c r="B413" s="8"/>
      <c r="C413" s="8"/>
      <c r="D413" s="8"/>
      <c r="M413" s="8"/>
      <c r="N413" s="8"/>
    </row>
    <row r="414" ht="12.75">
      <c r="B414" s="8"/>
      <c r="C414" s="8"/>
      <c r="D414" s="8"/>
      <c r="M414" s="8"/>
      <c r="N414" s="8"/>
    </row>
    <row r="415" ht="12.75">
      <c r="B415" s="8"/>
      <c r="C415" s="8"/>
      <c r="D415" s="8"/>
      <c r="M415" s="8"/>
      <c r="N415" s="8"/>
    </row>
    <row r="416" ht="12.75">
      <c r="B416" s="8"/>
      <c r="C416" s="8"/>
      <c r="D416" s="8"/>
      <c r="M416" s="8"/>
      <c r="N416" s="8"/>
    </row>
    <row r="417" ht="12.75">
      <c r="B417" s="8"/>
      <c r="C417" s="8"/>
      <c r="D417" s="8"/>
      <c r="M417" s="8"/>
      <c r="N417" s="8"/>
    </row>
    <row r="418" ht="12.75">
      <c r="B418" s="8"/>
      <c r="C418" s="8"/>
      <c r="D418" s="8"/>
      <c r="M418" s="8"/>
      <c r="N418" s="8"/>
    </row>
    <row r="419" ht="12.75">
      <c r="B419" s="8"/>
      <c r="C419" s="8"/>
      <c r="D419" s="8"/>
      <c r="M419" s="8"/>
      <c r="N419" s="8"/>
    </row>
    <row r="420" ht="12.75">
      <c r="B420" s="8"/>
      <c r="C420" s="8"/>
      <c r="D420" s="8"/>
      <c r="M420" s="8"/>
      <c r="N420" s="8"/>
    </row>
    <row r="421" ht="12.75">
      <c r="B421" s="8"/>
      <c r="C421" s="8"/>
      <c r="D421" s="8"/>
      <c r="M421" s="8"/>
      <c r="N421" s="8"/>
    </row>
    <row r="422" ht="12.75">
      <c r="B422" s="8"/>
      <c r="C422" s="8"/>
      <c r="D422" s="8"/>
      <c r="M422" s="8"/>
      <c r="N422" s="8"/>
    </row>
    <row r="423" ht="12.75">
      <c r="B423" s="8"/>
      <c r="C423" s="8"/>
      <c r="D423" s="8"/>
      <c r="M423" s="8"/>
      <c r="N423" s="8"/>
    </row>
    <row r="424" ht="12.75">
      <c r="B424" s="8"/>
      <c r="C424" s="8"/>
      <c r="D424" s="8"/>
      <c r="M424" s="8"/>
      <c r="N424" s="8"/>
    </row>
    <row r="425" ht="12.75">
      <c r="B425" s="8"/>
      <c r="C425" s="8"/>
      <c r="D425" s="8"/>
      <c r="M425" s="8"/>
      <c r="N425" s="8"/>
    </row>
    <row r="426" ht="12.75">
      <c r="B426" s="8"/>
      <c r="C426" s="8"/>
      <c r="D426" s="8"/>
      <c r="M426" s="8"/>
      <c r="N426" s="8"/>
    </row>
    <row r="427" ht="12.75">
      <c r="B427" s="8"/>
      <c r="C427" s="8"/>
      <c r="D427" s="8"/>
      <c r="M427" s="8"/>
      <c r="N427" s="8"/>
    </row>
    <row r="428" ht="12.75">
      <c r="B428" s="8"/>
      <c r="C428" s="8"/>
      <c r="D428" s="8"/>
      <c r="M428" s="8"/>
      <c r="N428" s="8"/>
    </row>
    <row r="429" ht="12.75">
      <c r="B429" s="8"/>
      <c r="C429" s="8"/>
      <c r="D429" s="8"/>
      <c r="M429" s="8"/>
      <c r="N429" s="8"/>
    </row>
    <row r="430" ht="12.75">
      <c r="B430" s="8"/>
      <c r="C430" s="8"/>
      <c r="D430" s="8"/>
      <c r="M430" s="8"/>
      <c r="N430" s="8"/>
    </row>
    <row r="431" ht="12.75">
      <c r="B431" s="8"/>
      <c r="C431" s="8"/>
      <c r="D431" s="8"/>
      <c r="M431" s="8"/>
      <c r="N431" s="8"/>
    </row>
    <row r="432" ht="12.75">
      <c r="B432" s="8"/>
      <c r="C432" s="8"/>
      <c r="D432" s="8"/>
      <c r="M432" s="8"/>
      <c r="N432" s="8"/>
    </row>
    <row r="433" ht="12.75">
      <c r="B433" s="8"/>
      <c r="C433" s="8"/>
      <c r="D433" s="8"/>
      <c r="M433" s="8"/>
      <c r="N433" s="8"/>
    </row>
    <row r="434" ht="12.75">
      <c r="B434" s="8"/>
      <c r="C434" s="8"/>
      <c r="D434" s="8"/>
      <c r="M434" s="8"/>
      <c r="N434" s="8"/>
    </row>
    <row r="435" ht="12.75">
      <c r="B435" s="8"/>
      <c r="C435" s="8"/>
      <c r="D435" s="8"/>
      <c r="M435" s="8"/>
      <c r="N435" s="8"/>
    </row>
    <row r="436" ht="12.75">
      <c r="B436" s="8"/>
      <c r="C436" s="8"/>
      <c r="D436" s="8"/>
      <c r="M436" s="8"/>
      <c r="N436" s="8"/>
    </row>
    <row r="437" ht="12.75">
      <c r="B437" s="8"/>
      <c r="C437" s="8"/>
      <c r="D437" s="8"/>
      <c r="M437" s="8"/>
      <c r="N437" s="8"/>
    </row>
    <row r="438" ht="12.75">
      <c r="B438" s="8"/>
      <c r="C438" s="8"/>
      <c r="D438" s="8"/>
      <c r="M438" s="8"/>
      <c r="N438" s="8"/>
    </row>
    <row r="439" ht="12.75">
      <c r="B439" s="8"/>
      <c r="C439" s="8"/>
      <c r="D439" s="8"/>
      <c r="M439" s="8"/>
      <c r="N439" s="8"/>
    </row>
    <row r="440" ht="12.75">
      <c r="B440" s="8"/>
      <c r="C440" s="8"/>
      <c r="D440" s="8"/>
      <c r="M440" s="8"/>
      <c r="N440" s="8"/>
    </row>
    <row r="441" ht="12.75">
      <c r="B441" s="8"/>
      <c r="C441" s="8"/>
      <c r="D441" s="8"/>
      <c r="M441" s="8"/>
      <c r="N441" s="8"/>
    </row>
    <row r="442" ht="12.75">
      <c r="B442" s="8"/>
      <c r="C442" s="8"/>
      <c r="D442" s="8"/>
      <c r="M442" s="8"/>
      <c r="N442" s="8"/>
    </row>
    <row r="443" ht="12.75">
      <c r="B443" s="8"/>
      <c r="C443" s="8"/>
      <c r="D443" s="8"/>
      <c r="M443" s="8"/>
      <c r="N443" s="8"/>
    </row>
    <row r="444" ht="12.75">
      <c r="B444" s="8"/>
      <c r="C444" s="8"/>
      <c r="D444" s="8"/>
      <c r="M444" s="8"/>
      <c r="N444" s="8"/>
    </row>
    <row r="445" ht="12.75">
      <c r="B445" s="8"/>
      <c r="C445" s="8"/>
      <c r="D445" s="8"/>
      <c r="M445" s="8"/>
      <c r="N445" s="8"/>
    </row>
    <row r="446" ht="12.75">
      <c r="B446" s="8"/>
      <c r="C446" s="8"/>
      <c r="D446" s="8"/>
      <c r="M446" s="8"/>
      <c r="N446" s="8"/>
    </row>
    <row r="447" ht="12.75">
      <c r="B447" s="8"/>
      <c r="C447" s="8"/>
      <c r="D447" s="8"/>
      <c r="M447" s="8"/>
      <c r="N447" s="8"/>
    </row>
    <row r="448" ht="12.75">
      <c r="B448" s="8"/>
      <c r="C448" s="8"/>
      <c r="D448" s="8"/>
      <c r="M448" s="8"/>
      <c r="N448" s="8"/>
    </row>
    <row r="449" ht="12.75">
      <c r="B449" s="8"/>
      <c r="C449" s="8"/>
      <c r="D449" s="8"/>
      <c r="M449" s="8"/>
      <c r="N449" s="8"/>
    </row>
    <row r="450" ht="12.75">
      <c r="B450" s="8"/>
      <c r="C450" s="8"/>
      <c r="D450" s="8"/>
      <c r="M450" s="8"/>
      <c r="N450" s="8"/>
    </row>
    <row r="451" ht="12.75">
      <c r="B451" s="8"/>
      <c r="C451" s="8"/>
      <c r="D451" s="8"/>
      <c r="M451" s="8"/>
      <c r="N451" s="8"/>
    </row>
    <row r="452" ht="12.75">
      <c r="B452" s="8"/>
      <c r="C452" s="8"/>
      <c r="D452" s="8"/>
      <c r="M452" s="8"/>
      <c r="N452" s="8"/>
    </row>
    <row r="453" ht="12.75">
      <c r="B453" s="8"/>
      <c r="C453" s="8"/>
      <c r="D453" s="8"/>
      <c r="M453" s="8"/>
      <c r="N453" s="8"/>
    </row>
    <row r="454" ht="12.75">
      <c r="B454" s="8"/>
      <c r="C454" s="8"/>
      <c r="D454" s="8"/>
      <c r="M454" s="8"/>
      <c r="N454" s="8"/>
    </row>
    <row r="455" ht="12.75">
      <c r="B455" s="8"/>
      <c r="C455" s="8"/>
      <c r="D455" s="8"/>
      <c r="M455" s="8"/>
      <c r="N455" s="8"/>
    </row>
    <row r="456" ht="12.75">
      <c r="B456" s="8"/>
      <c r="C456" s="8"/>
      <c r="D456" s="8"/>
      <c r="M456" s="8"/>
      <c r="N456" s="8"/>
    </row>
    <row r="457" ht="12.75">
      <c r="B457" s="8"/>
      <c r="C457" s="8"/>
      <c r="D457" s="8"/>
      <c r="M457" s="8"/>
      <c r="N457" s="8"/>
    </row>
    <row r="458" ht="12.75">
      <c r="B458" s="8"/>
      <c r="C458" s="8"/>
      <c r="D458" s="8"/>
      <c r="M458" s="8"/>
      <c r="N458" s="8"/>
    </row>
    <row r="459" ht="12.75">
      <c r="B459" s="8"/>
      <c r="C459" s="8"/>
      <c r="D459" s="8"/>
      <c r="M459" s="8"/>
      <c r="N459" s="8"/>
    </row>
    <row r="460" ht="12.75">
      <c r="B460" s="8"/>
      <c r="C460" s="8"/>
      <c r="D460" s="8"/>
      <c r="M460" s="8"/>
      <c r="N460" s="8"/>
    </row>
    <row r="461" ht="12.75">
      <c r="B461" s="8"/>
      <c r="C461" s="8"/>
      <c r="D461" s="8"/>
      <c r="M461" s="8"/>
      <c r="N461" s="8"/>
    </row>
    <row r="462" ht="12.75">
      <c r="B462" s="8"/>
      <c r="C462" s="8"/>
      <c r="D462" s="8"/>
      <c r="M462" s="8"/>
      <c r="N462" s="8"/>
    </row>
    <row r="463" ht="12.75">
      <c r="B463" s="8"/>
      <c r="C463" s="8"/>
      <c r="D463" s="8"/>
      <c r="M463" s="8"/>
      <c r="N463" s="8"/>
    </row>
    <row r="464" ht="12.75">
      <c r="B464" s="8"/>
      <c r="C464" s="8"/>
      <c r="D464" s="8"/>
      <c r="M464" s="8"/>
      <c r="N464" s="8"/>
    </row>
    <row r="465" ht="12.75">
      <c r="B465" s="8"/>
      <c r="C465" s="8"/>
      <c r="D465" s="8"/>
      <c r="M465" s="8"/>
      <c r="N465" s="8"/>
    </row>
    <row r="466" ht="12.75">
      <c r="B466" s="8"/>
      <c r="C466" s="8"/>
      <c r="D466" s="8"/>
      <c r="M466" s="8"/>
      <c r="N466" s="8"/>
    </row>
    <row r="467" ht="12.75">
      <c r="B467" s="8"/>
      <c r="C467" s="8"/>
      <c r="D467" s="8"/>
      <c r="M467" s="8"/>
      <c r="N467" s="8"/>
    </row>
    <row r="468" ht="12.75">
      <c r="B468" s="8"/>
      <c r="C468" s="8"/>
      <c r="D468" s="8"/>
      <c r="M468" s="8"/>
      <c r="N468" s="8"/>
    </row>
    <row r="469" ht="12.75">
      <c r="B469" s="8"/>
      <c r="C469" s="8"/>
      <c r="D469" s="8"/>
      <c r="M469" s="8"/>
      <c r="N469" s="8"/>
    </row>
    <row r="470" ht="12.75">
      <c r="B470" s="8"/>
      <c r="C470" s="8"/>
      <c r="D470" s="8"/>
      <c r="M470" s="8"/>
      <c r="N470" s="8"/>
    </row>
    <row r="471" ht="12.75">
      <c r="B471" s="8"/>
      <c r="C471" s="8"/>
      <c r="D471" s="8"/>
      <c r="M471" s="8"/>
      <c r="N471" s="8"/>
    </row>
    <row r="472" ht="12.75">
      <c r="B472" s="8"/>
      <c r="C472" s="8"/>
      <c r="D472" s="8"/>
      <c r="M472" s="8"/>
      <c r="N472" s="8"/>
    </row>
    <row r="473" ht="12.75">
      <c r="B473" s="8"/>
      <c r="C473" s="8"/>
      <c r="D473" s="8"/>
      <c r="M473" s="8"/>
      <c r="N473" s="8"/>
    </row>
    <row r="474" ht="12.75">
      <c r="B474" s="8"/>
      <c r="C474" s="8"/>
      <c r="D474" s="8"/>
      <c r="M474" s="8"/>
      <c r="N474" s="8"/>
    </row>
    <row r="475" ht="12.75">
      <c r="B475" s="8"/>
      <c r="C475" s="8"/>
      <c r="D475" s="8"/>
      <c r="M475" s="8"/>
      <c r="N475" s="8"/>
    </row>
    <row r="476" ht="12.75">
      <c r="B476" s="8"/>
      <c r="C476" s="8"/>
      <c r="D476" s="8"/>
      <c r="M476" s="8"/>
      <c r="N476" s="8"/>
    </row>
    <row r="477" ht="12.75">
      <c r="B477" s="8"/>
      <c r="C477" s="8"/>
      <c r="D477" s="8"/>
      <c r="M477" s="8"/>
      <c r="N477" s="8"/>
    </row>
    <row r="478" ht="12.75">
      <c r="B478" s="8"/>
      <c r="C478" s="8"/>
      <c r="D478" s="8"/>
      <c r="M478" s="8"/>
      <c r="N478" s="8"/>
    </row>
    <row r="479" ht="12.75">
      <c r="B479" s="8"/>
      <c r="C479" s="8"/>
      <c r="D479" s="8"/>
      <c r="M479" s="8"/>
      <c r="N479" s="8"/>
    </row>
    <row r="480" ht="12.75">
      <c r="B480" s="8"/>
      <c r="C480" s="8"/>
      <c r="D480" s="8"/>
      <c r="M480" s="8"/>
      <c r="N480" s="8"/>
    </row>
    <row r="481" ht="12.75">
      <c r="B481" s="8"/>
      <c r="C481" s="8"/>
      <c r="D481" s="8"/>
      <c r="M481" s="8"/>
      <c r="N481" s="8"/>
    </row>
    <row r="482" ht="12.75">
      <c r="B482" s="8"/>
      <c r="C482" s="8"/>
      <c r="D482" s="8"/>
      <c r="M482" s="8"/>
      <c r="N482" s="8"/>
    </row>
    <row r="483" ht="12.75">
      <c r="B483" s="8"/>
      <c r="C483" s="8"/>
      <c r="D483" s="8"/>
      <c r="M483" s="8"/>
      <c r="N483" s="8"/>
    </row>
    <row r="484" ht="12.75">
      <c r="B484" s="8"/>
      <c r="C484" s="8"/>
      <c r="D484" s="8"/>
      <c r="M484" s="8"/>
      <c r="N484" s="8"/>
    </row>
    <row r="485" ht="12.75">
      <c r="B485" s="8"/>
      <c r="C485" s="8"/>
      <c r="D485" s="8"/>
      <c r="M485" s="8"/>
      <c r="N485" s="8"/>
    </row>
    <row r="486" ht="12.75">
      <c r="B486" s="8"/>
      <c r="C486" s="8"/>
      <c r="D486" s="8"/>
      <c r="M486" s="8"/>
      <c r="N486" s="8"/>
    </row>
    <row r="487" ht="12.75">
      <c r="B487" s="8"/>
      <c r="C487" s="8"/>
      <c r="D487" s="8"/>
      <c r="M487" s="8"/>
      <c r="N487" s="8"/>
    </row>
    <row r="488" ht="12.75">
      <c r="B488" s="8"/>
      <c r="C488" s="8"/>
      <c r="D488" s="8"/>
      <c r="M488" s="8"/>
      <c r="N488" s="8"/>
    </row>
    <row r="489" ht="12.75">
      <c r="B489" s="8"/>
      <c r="C489" s="8"/>
      <c r="D489" s="8"/>
      <c r="M489" s="8"/>
      <c r="N489" s="8"/>
    </row>
    <row r="490" ht="12.75">
      <c r="B490" s="8"/>
      <c r="C490" s="8"/>
      <c r="D490" s="8"/>
      <c r="M490" s="8"/>
      <c r="N490" s="8"/>
    </row>
    <row r="491" ht="12.75">
      <c r="B491" s="8"/>
      <c r="C491" s="8"/>
      <c r="D491" s="8"/>
      <c r="M491" s="8"/>
      <c r="N491" s="8"/>
    </row>
    <row r="492" ht="12.75">
      <c r="B492" s="8"/>
      <c r="C492" s="8"/>
      <c r="D492" s="8"/>
      <c r="M492" s="8"/>
      <c r="N492" s="8"/>
    </row>
    <row r="493" ht="12.75">
      <c r="B493" s="8"/>
      <c r="C493" s="8"/>
      <c r="D493" s="8"/>
      <c r="M493" s="8"/>
      <c r="N493" s="8"/>
    </row>
    <row r="494" ht="12.75">
      <c r="B494" s="8"/>
      <c r="C494" s="8"/>
      <c r="D494" s="8"/>
      <c r="M494" s="8"/>
      <c r="N494" s="8"/>
    </row>
    <row r="495" ht="12.75">
      <c r="B495" s="8"/>
      <c r="C495" s="8"/>
      <c r="D495" s="8"/>
      <c r="M495" s="8"/>
      <c r="N495" s="8"/>
    </row>
    <row r="496" ht="12.75">
      <c r="B496" s="8"/>
      <c r="C496" s="8"/>
      <c r="D496" s="8"/>
      <c r="M496" s="8"/>
      <c r="N496" s="8"/>
    </row>
    <row r="497" ht="12.75">
      <c r="B497" s="8"/>
      <c r="C497" s="8"/>
      <c r="D497" s="8"/>
      <c r="M497" s="8"/>
      <c r="N497" s="8"/>
    </row>
    <row r="498" ht="12.75">
      <c r="B498" s="8"/>
      <c r="C498" s="8"/>
      <c r="D498" s="8"/>
      <c r="M498" s="8"/>
      <c r="N498" s="8"/>
    </row>
    <row r="499" ht="12.75">
      <c r="B499" s="8"/>
      <c r="C499" s="8"/>
      <c r="D499" s="8"/>
      <c r="M499" s="8"/>
      <c r="N499" s="8"/>
    </row>
    <row r="500" ht="12.75">
      <c r="B500" s="8"/>
      <c r="C500" s="8"/>
      <c r="D500" s="8"/>
      <c r="M500" s="8"/>
      <c r="N500" s="8"/>
    </row>
    <row r="501" ht="12.75">
      <c r="B501" s="8"/>
      <c r="C501" s="8"/>
      <c r="D501" s="8"/>
      <c r="M501" s="8"/>
      <c r="N501" s="8"/>
    </row>
    <row r="502" ht="12.75">
      <c r="B502" s="8"/>
      <c r="C502" s="8"/>
      <c r="D502" s="8"/>
      <c r="M502" s="8"/>
      <c r="N502" s="8"/>
    </row>
    <row r="503" ht="12.75">
      <c r="B503" s="8"/>
      <c r="C503" s="8"/>
      <c r="D503" s="8"/>
      <c r="M503" s="8"/>
      <c r="N503" s="8"/>
    </row>
    <row r="504" ht="12.75">
      <c r="B504" s="8"/>
      <c r="C504" s="8"/>
      <c r="D504" s="8"/>
      <c r="M504" s="8"/>
      <c r="N504" s="8"/>
    </row>
    <row r="505" ht="12.75">
      <c r="B505" s="8"/>
      <c r="C505" s="8"/>
      <c r="D505" s="8"/>
      <c r="M505" s="8"/>
      <c r="N505" s="8"/>
    </row>
    <row r="506" ht="12.75">
      <c r="B506" s="8"/>
      <c r="C506" s="8"/>
      <c r="D506" s="8"/>
      <c r="M506" s="8"/>
      <c r="N506" s="8"/>
    </row>
    <row r="507" ht="12.75">
      <c r="B507" s="8"/>
      <c r="C507" s="8"/>
      <c r="D507" s="8"/>
      <c r="M507" s="8"/>
      <c r="N507" s="8"/>
    </row>
    <row r="508" ht="12.75">
      <c r="B508" s="8"/>
      <c r="C508" s="8"/>
      <c r="D508" s="8"/>
      <c r="M508" s="8"/>
      <c r="N508" s="8"/>
    </row>
    <row r="509" ht="12.75">
      <c r="B509" s="8"/>
      <c r="C509" s="8"/>
      <c r="D509" s="8"/>
      <c r="M509" s="8"/>
      <c r="N509" s="8"/>
    </row>
    <row r="510" ht="12.75">
      <c r="B510" s="8"/>
      <c r="C510" s="8"/>
      <c r="D510" s="8"/>
      <c r="M510" s="8"/>
      <c r="N510" s="8"/>
    </row>
    <row r="511" ht="12.75">
      <c r="B511" s="8"/>
      <c r="C511" s="8"/>
      <c r="D511" s="8"/>
      <c r="M511" s="8"/>
      <c r="N511" s="8"/>
    </row>
    <row r="512" ht="12.75">
      <c r="B512" s="8"/>
      <c r="C512" s="8"/>
      <c r="D512" s="8"/>
      <c r="M512" s="8"/>
      <c r="N512" s="8"/>
    </row>
    <row r="513" ht="12.75">
      <c r="B513" s="8"/>
      <c r="C513" s="8"/>
      <c r="D513" s="8"/>
      <c r="M513" s="8"/>
      <c r="N513" s="8"/>
    </row>
    <row r="514" ht="12.75">
      <c r="B514" s="8"/>
      <c r="C514" s="8"/>
      <c r="D514" s="8"/>
      <c r="M514" s="8"/>
      <c r="N514" s="8"/>
    </row>
    <row r="515" ht="12.75">
      <c r="B515" s="8"/>
      <c r="C515" s="8"/>
      <c r="D515" s="8"/>
      <c r="M515" s="8"/>
      <c r="N515" s="8"/>
    </row>
    <row r="516" ht="12.75">
      <c r="B516" s="8"/>
      <c r="C516" s="8"/>
      <c r="D516" s="8"/>
      <c r="M516" s="8"/>
      <c r="N516" s="8"/>
    </row>
    <row r="517" ht="12.75">
      <c r="B517" s="8"/>
      <c r="C517" s="8"/>
      <c r="D517" s="8"/>
      <c r="M517" s="8"/>
      <c r="N517" s="8"/>
    </row>
    <row r="518" ht="12.75">
      <c r="B518" s="8"/>
      <c r="C518" s="8"/>
      <c r="D518" s="8"/>
      <c r="M518" s="8"/>
      <c r="N518" s="8"/>
    </row>
    <row r="519" ht="12.75">
      <c r="B519" s="8"/>
      <c r="C519" s="8"/>
      <c r="D519" s="8"/>
      <c r="M519" s="8"/>
      <c r="N519" s="8"/>
    </row>
    <row r="520" ht="12.75">
      <c r="B520" s="8"/>
      <c r="C520" s="8"/>
      <c r="D520" s="8"/>
      <c r="M520" s="8"/>
      <c r="N520" s="8"/>
    </row>
    <row r="521" ht="12.75">
      <c r="B521" s="8"/>
      <c r="C521" s="8"/>
      <c r="D521" s="8"/>
      <c r="M521" s="8"/>
      <c r="N521" s="8"/>
    </row>
    <row r="522" ht="12.75">
      <c r="B522" s="8"/>
      <c r="C522" s="8"/>
      <c r="D522" s="8"/>
      <c r="M522" s="8"/>
      <c r="N522" s="8"/>
    </row>
    <row r="523" ht="12.75">
      <c r="B523" s="8"/>
      <c r="C523" s="8"/>
      <c r="D523" s="8"/>
      <c r="M523" s="8"/>
      <c r="N523" s="8"/>
    </row>
    <row r="524" ht="12.75">
      <c r="B524" s="8"/>
      <c r="C524" s="8"/>
      <c r="D524" s="8"/>
      <c r="M524" s="8"/>
      <c r="N524" s="8"/>
    </row>
    <row r="525" ht="12.75">
      <c r="B525" s="8"/>
      <c r="C525" s="8"/>
      <c r="D525" s="8"/>
      <c r="M525" s="8"/>
      <c r="N525" s="8"/>
    </row>
    <row r="526" ht="12.75">
      <c r="B526" s="8"/>
      <c r="C526" s="8"/>
      <c r="D526" s="8"/>
      <c r="M526" s="8"/>
      <c r="N526" s="8"/>
    </row>
    <row r="527" ht="12.75">
      <c r="B527" s="8"/>
      <c r="C527" s="8"/>
      <c r="D527" s="8"/>
      <c r="M527" s="8"/>
      <c r="N527" s="8"/>
    </row>
    <row r="528" ht="12.75">
      <c r="B528" s="8"/>
      <c r="C528" s="8"/>
      <c r="D528" s="8"/>
      <c r="M528" s="8"/>
      <c r="N528" s="8"/>
    </row>
    <row r="529" ht="12.75">
      <c r="B529" s="8"/>
      <c r="C529" s="8"/>
      <c r="D529" s="8"/>
      <c r="M529" s="8"/>
      <c r="N529" s="8"/>
    </row>
    <row r="530" ht="12.75">
      <c r="B530" s="8"/>
      <c r="C530" s="8"/>
      <c r="D530" s="8"/>
      <c r="M530" s="8"/>
      <c r="N530" s="8"/>
    </row>
    <row r="531" ht="12.75">
      <c r="B531" s="8"/>
      <c r="C531" s="8"/>
      <c r="D531" s="8"/>
      <c r="M531" s="8"/>
      <c r="N531" s="8"/>
    </row>
    <row r="532" ht="12.75">
      <c r="B532" s="8"/>
      <c r="C532" s="8"/>
      <c r="D532" s="8"/>
      <c r="M532" s="8"/>
      <c r="N532" s="8"/>
    </row>
    <row r="533" ht="12.75">
      <c r="B533" s="8"/>
      <c r="C533" s="8"/>
      <c r="D533" s="8"/>
      <c r="M533" s="8"/>
      <c r="N533" s="8"/>
    </row>
    <row r="534" ht="12.75">
      <c r="B534" s="8"/>
      <c r="C534" s="8"/>
      <c r="D534" s="8"/>
      <c r="M534" s="8"/>
      <c r="N534" s="8"/>
    </row>
    <row r="535" ht="12.75">
      <c r="B535" s="8"/>
      <c r="C535" s="8"/>
      <c r="D535" s="8"/>
      <c r="M535" s="8"/>
      <c r="N535" s="8"/>
    </row>
    <row r="536" ht="12.75">
      <c r="B536" s="8"/>
      <c r="C536" s="8"/>
      <c r="D536" s="8"/>
      <c r="M536" s="8"/>
      <c r="N536" s="8"/>
    </row>
    <row r="537" ht="12.75">
      <c r="B537" s="8"/>
      <c r="C537" s="8"/>
      <c r="D537" s="8"/>
      <c r="M537" s="8"/>
      <c r="N537" s="8"/>
    </row>
    <row r="538" ht="12.75">
      <c r="B538" s="8"/>
      <c r="C538" s="8"/>
      <c r="D538" s="8"/>
      <c r="M538" s="8"/>
      <c r="N538" s="8"/>
    </row>
    <row r="539" ht="12.75">
      <c r="B539" s="8"/>
      <c r="C539" s="8"/>
      <c r="D539" s="8"/>
      <c r="M539" s="8"/>
      <c r="N539" s="8"/>
    </row>
    <row r="540" ht="12.75">
      <c r="B540" s="8"/>
      <c r="C540" s="8"/>
      <c r="D540" s="8"/>
      <c r="M540" s="8"/>
      <c r="N540" s="8"/>
    </row>
    <row r="541" ht="12.75">
      <c r="B541" s="8"/>
      <c r="C541" s="8"/>
      <c r="D541" s="8"/>
      <c r="M541" s="8"/>
      <c r="N541" s="8"/>
    </row>
    <row r="542" ht="12.75">
      <c r="B542" s="8"/>
      <c r="C542" s="8"/>
      <c r="D542" s="8"/>
      <c r="M542" s="8"/>
      <c r="N542" s="8"/>
    </row>
    <row r="543" ht="12.75">
      <c r="B543" s="8"/>
      <c r="C543" s="8"/>
      <c r="D543" s="8"/>
      <c r="M543" s="8"/>
      <c r="N543" s="8"/>
    </row>
    <row r="544" ht="12.75">
      <c r="B544" s="8"/>
      <c r="C544" s="8"/>
      <c r="D544" s="8"/>
      <c r="M544" s="8"/>
      <c r="N544" s="8"/>
    </row>
    <row r="545" ht="12.75">
      <c r="B545" s="8"/>
      <c r="C545" s="8"/>
      <c r="D545" s="8"/>
      <c r="M545" s="8"/>
      <c r="N545" s="8"/>
    </row>
    <row r="546" ht="12.75">
      <c r="B546" s="8"/>
      <c r="C546" s="8"/>
      <c r="D546" s="8"/>
      <c r="M546" s="8"/>
      <c r="N546" s="8"/>
    </row>
    <row r="547" ht="12.75">
      <c r="B547" s="8"/>
      <c r="C547" s="8"/>
      <c r="D547" s="8"/>
      <c r="M547" s="8"/>
      <c r="N547" s="8"/>
    </row>
    <row r="548" ht="12.75">
      <c r="B548" s="8"/>
      <c r="C548" s="8"/>
      <c r="D548" s="8"/>
      <c r="M548" s="8"/>
      <c r="N548" s="8"/>
    </row>
    <row r="549" ht="12.75">
      <c r="B549" s="8"/>
      <c r="C549" s="8"/>
      <c r="D549" s="8"/>
      <c r="M549" s="8"/>
      <c r="N549" s="8"/>
    </row>
    <row r="550" ht="12.75">
      <c r="B550" s="8"/>
      <c r="C550" s="8"/>
      <c r="D550" s="8"/>
      <c r="M550" s="8"/>
      <c r="N550" s="8"/>
    </row>
    <row r="551" ht="12.75">
      <c r="B551" s="8"/>
      <c r="C551" s="8"/>
      <c r="D551" s="8"/>
      <c r="M551" s="8"/>
      <c r="N551" s="8"/>
    </row>
    <row r="552" ht="12.75">
      <c r="B552" s="8"/>
      <c r="C552" s="8"/>
      <c r="D552" s="8"/>
      <c r="M552" s="8"/>
      <c r="N552" s="8"/>
    </row>
    <row r="553" ht="12.75">
      <c r="B553" s="8"/>
      <c r="C553" s="8"/>
      <c r="D553" s="8"/>
      <c r="M553" s="8"/>
      <c r="N553" s="8"/>
    </row>
    <row r="554" ht="12.75">
      <c r="B554" s="8"/>
      <c r="C554" s="8"/>
      <c r="D554" s="8"/>
      <c r="M554" s="8"/>
      <c r="N554" s="8"/>
    </row>
    <row r="555" ht="12.75">
      <c r="B555" s="8"/>
      <c r="C555" s="8"/>
      <c r="D555" s="8"/>
      <c r="M555" s="8"/>
      <c r="N555" s="8"/>
    </row>
    <row r="556" ht="12.75">
      <c r="B556" s="8"/>
      <c r="C556" s="8"/>
      <c r="D556" s="8"/>
      <c r="M556" s="8"/>
      <c r="N556" s="8"/>
    </row>
    <row r="557" ht="12.75">
      <c r="B557" s="8"/>
      <c r="C557" s="8"/>
      <c r="D557" s="8"/>
      <c r="M557" s="8"/>
      <c r="N557" s="8"/>
    </row>
    <row r="558" ht="12.75">
      <c r="B558" s="8"/>
      <c r="C558" s="8"/>
      <c r="D558" s="8"/>
      <c r="M558" s="8"/>
      <c r="N558" s="8"/>
    </row>
    <row r="559" ht="12.75">
      <c r="B559" s="8"/>
      <c r="C559" s="8"/>
      <c r="D559" s="8"/>
      <c r="M559" s="8"/>
      <c r="N559" s="8"/>
    </row>
    <row r="560" ht="12.75">
      <c r="B560" s="8"/>
      <c r="C560" s="8"/>
      <c r="D560" s="8"/>
      <c r="M560" s="8"/>
      <c r="N560" s="8"/>
    </row>
    <row r="561" ht="12.75">
      <c r="B561" s="8"/>
      <c r="C561" s="8"/>
      <c r="D561" s="8"/>
      <c r="M561" s="8"/>
      <c r="N561" s="8"/>
    </row>
    <row r="562" ht="12.75">
      <c r="B562" s="8"/>
      <c r="C562" s="8"/>
      <c r="D562" s="8"/>
      <c r="M562" s="8"/>
      <c r="N562" s="8"/>
    </row>
    <row r="563" ht="12.75">
      <c r="B563" s="8"/>
      <c r="C563" s="8"/>
      <c r="D563" s="8"/>
      <c r="M563" s="8"/>
      <c r="N563" s="8"/>
    </row>
    <row r="564" ht="12.75">
      <c r="B564" s="8"/>
      <c r="C564" s="8"/>
      <c r="D564" s="8"/>
      <c r="M564" s="8"/>
      <c r="N564" s="8"/>
    </row>
    <row r="565" ht="12.75">
      <c r="B565" s="8"/>
      <c r="C565" s="8"/>
      <c r="D565" s="8"/>
      <c r="M565" s="8"/>
      <c r="N565" s="8"/>
    </row>
    <row r="566" ht="12.75">
      <c r="B566" s="8"/>
      <c r="C566" s="8"/>
      <c r="D566" s="8"/>
      <c r="M566" s="8"/>
      <c r="N566" s="8"/>
    </row>
    <row r="567" ht="12.75">
      <c r="B567" s="8"/>
      <c r="C567" s="8"/>
      <c r="D567" s="8"/>
      <c r="M567" s="8"/>
      <c r="N567" s="8"/>
    </row>
    <row r="568" ht="12.75">
      <c r="B568" s="8"/>
      <c r="C568" s="8"/>
      <c r="D568" s="8"/>
      <c r="M568" s="8"/>
      <c r="N568" s="8"/>
    </row>
    <row r="569" ht="12.75">
      <c r="B569" s="8"/>
      <c r="C569" s="8"/>
      <c r="D569" s="8"/>
      <c r="M569" s="8"/>
      <c r="N569" s="8"/>
    </row>
    <row r="570" ht="12.75">
      <c r="B570" s="8"/>
      <c r="C570" s="8"/>
      <c r="D570" s="8"/>
      <c r="M570" s="8"/>
      <c r="N570" s="8"/>
    </row>
    <row r="571" ht="12.75">
      <c r="B571" s="8"/>
      <c r="C571" s="8"/>
      <c r="D571" s="8"/>
      <c r="M571" s="8"/>
      <c r="N571" s="8"/>
    </row>
    <row r="572" ht="12.75">
      <c r="B572" s="8"/>
      <c r="C572" s="8"/>
      <c r="D572" s="8"/>
      <c r="M572" s="8"/>
      <c r="N572" s="8"/>
    </row>
    <row r="573" ht="12.75">
      <c r="B573" s="8"/>
      <c r="C573" s="8"/>
      <c r="D573" s="8"/>
      <c r="M573" s="8"/>
      <c r="N573" s="8"/>
    </row>
    <row r="574" ht="12.75">
      <c r="B574" s="8"/>
      <c r="C574" s="8"/>
      <c r="D574" s="8"/>
      <c r="M574" s="8"/>
      <c r="N574" s="8"/>
    </row>
    <row r="575" ht="12.75">
      <c r="B575" s="8"/>
      <c r="C575" s="8"/>
      <c r="D575" s="8"/>
      <c r="M575" s="8"/>
      <c r="N575" s="8"/>
    </row>
    <row r="576" ht="12.75">
      <c r="B576" s="8"/>
      <c r="C576" s="8"/>
      <c r="D576" s="8"/>
      <c r="M576" s="8"/>
      <c r="N576" s="8"/>
    </row>
    <row r="577" ht="12.75">
      <c r="B577" s="8"/>
      <c r="C577" s="8"/>
      <c r="D577" s="8"/>
      <c r="M577" s="8"/>
      <c r="N577" s="8"/>
    </row>
    <row r="578" ht="12.75">
      <c r="B578" s="8"/>
      <c r="C578" s="8"/>
      <c r="D578" s="8"/>
      <c r="M578" s="8"/>
      <c r="N578" s="8"/>
    </row>
    <row r="579" ht="12.75">
      <c r="B579" s="8"/>
      <c r="C579" s="8"/>
      <c r="D579" s="8"/>
      <c r="M579" s="8"/>
      <c r="N579" s="8"/>
    </row>
    <row r="580" ht="12.75">
      <c r="B580" s="8"/>
      <c r="C580" s="8"/>
      <c r="D580" s="8"/>
      <c r="M580" s="8"/>
      <c r="N580" s="8"/>
    </row>
    <row r="581" ht="12.75">
      <c r="B581" s="8"/>
      <c r="C581" s="8"/>
      <c r="D581" s="8"/>
      <c r="M581" s="8"/>
      <c r="N581" s="8"/>
    </row>
    <row r="582" ht="12.75">
      <c r="B582" s="8"/>
      <c r="C582" s="8"/>
      <c r="D582" s="8"/>
      <c r="M582" s="8"/>
      <c r="N582" s="8"/>
    </row>
    <row r="583" ht="12.75">
      <c r="B583" s="8"/>
      <c r="C583" s="8"/>
      <c r="D583" s="8"/>
      <c r="M583" s="8"/>
      <c r="N583" s="8"/>
    </row>
    <row r="584" ht="12.75">
      <c r="B584" s="8"/>
      <c r="C584" s="8"/>
      <c r="D584" s="8"/>
      <c r="M584" s="8"/>
      <c r="N584" s="8"/>
    </row>
    <row r="585" ht="12.75">
      <c r="B585" s="8"/>
      <c r="C585" s="8"/>
      <c r="D585" s="8"/>
      <c r="M585" s="8"/>
      <c r="N585" s="8"/>
    </row>
    <row r="586" ht="12.75">
      <c r="B586" s="8"/>
      <c r="C586" s="8"/>
      <c r="D586" s="8"/>
      <c r="M586" s="8"/>
      <c r="N586" s="8"/>
    </row>
    <row r="587" ht="12.75">
      <c r="B587" s="8"/>
      <c r="C587" s="8"/>
      <c r="D587" s="8"/>
      <c r="M587" s="8"/>
      <c r="N587" s="8"/>
    </row>
    <row r="588" ht="12.75">
      <c r="B588" s="8"/>
      <c r="C588" s="8"/>
      <c r="D588" s="8"/>
      <c r="M588" s="8"/>
      <c r="N588" s="8"/>
    </row>
    <row r="589" ht="12.75">
      <c r="B589" s="8"/>
      <c r="C589" s="8"/>
      <c r="D589" s="8"/>
      <c r="M589" s="8"/>
      <c r="N589" s="8"/>
    </row>
    <row r="590" ht="12.75">
      <c r="B590" s="8"/>
      <c r="C590" s="8"/>
      <c r="D590" s="8"/>
      <c r="M590" s="8"/>
      <c r="N590" s="8"/>
    </row>
    <row r="591" ht="12.75">
      <c r="B591" s="8"/>
      <c r="C591" s="8"/>
      <c r="D591" s="8"/>
      <c r="M591" s="8"/>
      <c r="N591" s="8"/>
    </row>
    <row r="592" ht="12.75">
      <c r="B592" s="8"/>
      <c r="C592" s="8"/>
      <c r="D592" s="8"/>
      <c r="M592" s="8"/>
      <c r="N592" s="8"/>
    </row>
    <row r="593" ht="12.75">
      <c r="B593" s="8"/>
      <c r="C593" s="8"/>
      <c r="D593" s="8"/>
      <c r="M593" s="8"/>
      <c r="N593" s="8"/>
    </row>
    <row r="594" ht="12.75">
      <c r="B594" s="8"/>
      <c r="C594" s="8"/>
      <c r="D594" s="8"/>
      <c r="M594" s="8"/>
      <c r="N594" s="8"/>
    </row>
    <row r="595" ht="12.75">
      <c r="B595" s="8"/>
      <c r="C595" s="8"/>
      <c r="D595" s="8"/>
      <c r="M595" s="8"/>
      <c r="N595" s="8"/>
    </row>
    <row r="596" ht="12.75">
      <c r="B596" s="8"/>
      <c r="C596" s="8"/>
      <c r="D596" s="8"/>
      <c r="M596" s="8"/>
      <c r="N596" s="8"/>
    </row>
    <row r="597" ht="12.75">
      <c r="B597" s="8"/>
      <c r="C597" s="8"/>
      <c r="D597" s="8"/>
      <c r="M597" s="8"/>
      <c r="N597" s="8"/>
    </row>
    <row r="598" ht="12.75">
      <c r="B598" s="8"/>
      <c r="C598" s="8"/>
      <c r="D598" s="8"/>
      <c r="M598" s="8"/>
      <c r="N598" s="8"/>
    </row>
    <row r="599" ht="12.75">
      <c r="B599" s="8"/>
      <c r="C599" s="8"/>
      <c r="D599" s="8"/>
      <c r="M599" s="8"/>
      <c r="N599" s="8"/>
    </row>
    <row r="600" ht="12.75">
      <c r="B600" s="8"/>
      <c r="C600" s="8"/>
      <c r="D600" s="8"/>
      <c r="M600" s="8"/>
      <c r="N600" s="8"/>
    </row>
    <row r="601" ht="12.75">
      <c r="B601" s="8"/>
      <c r="C601" s="8"/>
      <c r="D601" s="8"/>
      <c r="M601" s="8"/>
      <c r="N601" s="8"/>
    </row>
    <row r="602" ht="12.75">
      <c r="B602" s="8"/>
      <c r="C602" s="8"/>
      <c r="D602" s="8"/>
      <c r="M602" s="8"/>
      <c r="N602" s="8"/>
    </row>
    <row r="603" ht="12.75">
      <c r="B603" s="8"/>
      <c r="C603" s="8"/>
      <c r="D603" s="8"/>
      <c r="M603" s="8"/>
      <c r="N603" s="8"/>
    </row>
    <row r="604" ht="12.75">
      <c r="B604" s="8"/>
      <c r="C604" s="8"/>
      <c r="D604" s="8"/>
      <c r="M604" s="8"/>
      <c r="N604" s="8"/>
    </row>
    <row r="605" ht="12.75">
      <c r="B605" s="8"/>
      <c r="C605" s="8"/>
      <c r="D605" s="8"/>
      <c r="M605" s="8"/>
      <c r="N605" s="8"/>
    </row>
    <row r="606" ht="12.75">
      <c r="B606" s="8"/>
      <c r="C606" s="8"/>
      <c r="D606" s="8"/>
      <c r="M606" s="8"/>
      <c r="N606" s="8"/>
    </row>
    <row r="607" ht="12.75">
      <c r="B607" s="8"/>
      <c r="C607" s="8"/>
      <c r="D607" s="8"/>
      <c r="M607" s="8"/>
      <c r="N607" s="8"/>
    </row>
    <row r="608" ht="12.75">
      <c r="B608" s="8"/>
      <c r="C608" s="8"/>
      <c r="D608" s="8"/>
      <c r="M608" s="8"/>
      <c r="N608" s="8"/>
    </row>
    <row r="609" ht="12.75">
      <c r="B609" s="8"/>
      <c r="C609" s="8"/>
      <c r="D609" s="8"/>
      <c r="M609" s="8"/>
      <c r="N609" s="8"/>
    </row>
    <row r="610" ht="12.75">
      <c r="B610" s="8"/>
      <c r="C610" s="8"/>
      <c r="D610" s="8"/>
      <c r="M610" s="8"/>
      <c r="N610" s="8"/>
    </row>
    <row r="611" ht="12.75">
      <c r="B611" s="8"/>
      <c r="C611" s="8"/>
      <c r="D611" s="8"/>
      <c r="M611" s="8"/>
      <c r="N611" s="8"/>
    </row>
    <row r="612" ht="12.75">
      <c r="B612" s="8"/>
      <c r="C612" s="8"/>
      <c r="D612" s="8"/>
      <c r="M612" s="8"/>
      <c r="N612" s="8"/>
    </row>
    <row r="613" ht="12.75">
      <c r="B613" s="8"/>
      <c r="C613" s="8"/>
      <c r="D613" s="8"/>
      <c r="M613" s="8"/>
      <c r="N613" s="8"/>
    </row>
    <row r="614" ht="12.75">
      <c r="B614" s="8"/>
      <c r="C614" s="8"/>
      <c r="D614" s="8"/>
      <c r="M614" s="8"/>
      <c r="N614" s="8"/>
    </row>
    <row r="615" ht="12.75">
      <c r="B615" s="8"/>
      <c r="C615" s="8"/>
      <c r="D615" s="8"/>
      <c r="M615" s="8"/>
      <c r="N615" s="8"/>
    </row>
    <row r="616" ht="12.75">
      <c r="B616" s="8"/>
      <c r="C616" s="8"/>
      <c r="D616" s="8"/>
      <c r="M616" s="8"/>
      <c r="N616" s="8"/>
    </row>
    <row r="617" ht="12.75">
      <c r="B617" s="8"/>
      <c r="C617" s="8"/>
      <c r="D617" s="8"/>
      <c r="M617" s="8"/>
      <c r="N617" s="8"/>
    </row>
    <row r="618" ht="12.75">
      <c r="B618" s="8"/>
      <c r="C618" s="8"/>
      <c r="D618" s="8"/>
      <c r="M618" s="8"/>
      <c r="N618" s="8"/>
    </row>
    <row r="619" ht="12.75">
      <c r="B619" s="8"/>
      <c r="C619" s="8"/>
      <c r="D619" s="8"/>
      <c r="M619" s="8"/>
      <c r="N619" s="8"/>
    </row>
    <row r="620" ht="12.75">
      <c r="B620" s="8"/>
      <c r="C620" s="8"/>
      <c r="D620" s="8"/>
      <c r="M620" s="8"/>
      <c r="N620" s="8"/>
    </row>
    <row r="621" ht="12.75">
      <c r="B621" s="8"/>
      <c r="C621" s="8"/>
      <c r="D621" s="8"/>
      <c r="M621" s="8"/>
      <c r="N621" s="8"/>
    </row>
    <row r="622" ht="12.75">
      <c r="B622" s="8"/>
      <c r="C622" s="8"/>
      <c r="D622" s="8"/>
      <c r="M622" s="8"/>
      <c r="N622" s="8"/>
    </row>
    <row r="623" ht="12.75">
      <c r="B623" s="8"/>
      <c r="C623" s="8"/>
      <c r="D623" s="8"/>
      <c r="M623" s="8"/>
      <c r="N623" s="8"/>
    </row>
    <row r="624" ht="12.75">
      <c r="B624" s="8"/>
      <c r="C624" s="8"/>
      <c r="D624" s="8"/>
      <c r="M624" s="8"/>
      <c r="N624" s="8"/>
    </row>
    <row r="625" ht="12.75">
      <c r="B625" s="8"/>
      <c r="C625" s="8"/>
      <c r="D625" s="8"/>
      <c r="M625" s="8"/>
      <c r="N625" s="8"/>
    </row>
    <row r="626" ht="12.75">
      <c r="B626" s="8"/>
      <c r="C626" s="8"/>
      <c r="D626" s="8"/>
      <c r="M626" s="8"/>
      <c r="N626" s="8"/>
    </row>
    <row r="627" ht="12.75">
      <c r="B627" s="8"/>
      <c r="C627" s="8"/>
      <c r="D627" s="8"/>
      <c r="M627" s="8"/>
      <c r="N627" s="8"/>
    </row>
    <row r="628" ht="12.75">
      <c r="B628" s="8"/>
      <c r="C628" s="8"/>
      <c r="D628" s="8"/>
      <c r="M628" s="8"/>
      <c r="N628" s="8"/>
    </row>
    <row r="629" ht="12.75">
      <c r="B629" s="8"/>
      <c r="C629" s="8"/>
      <c r="D629" s="8"/>
      <c r="M629" s="8"/>
      <c r="N629" s="8"/>
    </row>
    <row r="630" ht="12.75">
      <c r="B630" s="8"/>
      <c r="C630" s="8"/>
      <c r="D630" s="8"/>
      <c r="M630" s="8"/>
      <c r="N630" s="8"/>
    </row>
    <row r="631" ht="12.75">
      <c r="B631" s="8"/>
      <c r="C631" s="8"/>
      <c r="D631" s="8"/>
      <c r="M631" s="8"/>
      <c r="N631" s="8"/>
    </row>
    <row r="632" ht="12.75">
      <c r="B632" s="8"/>
      <c r="C632" s="8"/>
      <c r="D632" s="8"/>
      <c r="M632" s="8"/>
      <c r="N632" s="8"/>
    </row>
    <row r="633" ht="12.75">
      <c r="B633" s="8"/>
      <c r="C633" s="8"/>
      <c r="D633" s="8"/>
      <c r="M633" s="8"/>
      <c r="N633" s="8"/>
    </row>
    <row r="634" ht="12.75">
      <c r="B634" s="8"/>
      <c r="C634" s="8"/>
      <c r="D634" s="8"/>
      <c r="M634" s="8"/>
      <c r="N634" s="8"/>
    </row>
    <row r="635" ht="12.75">
      <c r="B635" s="8"/>
      <c r="C635" s="8"/>
      <c r="D635" s="8"/>
      <c r="M635" s="8"/>
      <c r="N635" s="8"/>
    </row>
    <row r="636" ht="12.75">
      <c r="B636" s="8"/>
      <c r="C636" s="8"/>
      <c r="D636" s="8"/>
      <c r="M636" s="8"/>
      <c r="N636" s="8"/>
    </row>
    <row r="637" ht="12.75">
      <c r="B637" s="8"/>
      <c r="C637" s="8"/>
      <c r="D637" s="8"/>
      <c r="M637" s="8"/>
      <c r="N637" s="8"/>
    </row>
    <row r="638" ht="12.75">
      <c r="B638" s="8"/>
      <c r="C638" s="8"/>
      <c r="D638" s="8"/>
      <c r="M638" s="8"/>
      <c r="N638" s="8"/>
    </row>
    <row r="639" ht="12.75">
      <c r="B639" s="8"/>
      <c r="C639" s="8"/>
      <c r="D639" s="8"/>
      <c r="M639" s="8"/>
      <c r="N639" s="8"/>
    </row>
    <row r="640" ht="12.75">
      <c r="B640" s="8"/>
      <c r="C640" s="8"/>
      <c r="D640" s="8"/>
      <c r="M640" s="8"/>
      <c r="N640" s="8"/>
    </row>
    <row r="641" ht="12.75">
      <c r="B641" s="8"/>
      <c r="C641" s="8"/>
      <c r="D641" s="8"/>
      <c r="M641" s="8"/>
      <c r="N641" s="8"/>
    </row>
    <row r="642" ht="12.75">
      <c r="B642" s="8"/>
      <c r="C642" s="8"/>
      <c r="D642" s="8"/>
      <c r="M642" s="8"/>
      <c r="N642" s="8"/>
    </row>
    <row r="643" ht="12.75">
      <c r="B643" s="8"/>
      <c r="C643" s="8"/>
      <c r="D643" s="8"/>
      <c r="M643" s="8"/>
      <c r="N643" s="8"/>
    </row>
    <row r="644" ht="12.75">
      <c r="B644" s="8"/>
      <c r="C644" s="8"/>
      <c r="D644" s="8"/>
      <c r="M644" s="8"/>
      <c r="N644" s="8"/>
    </row>
    <row r="645" ht="12.75">
      <c r="B645" s="8"/>
      <c r="C645" s="8"/>
      <c r="D645" s="8"/>
      <c r="M645" s="8"/>
      <c r="N645" s="8"/>
    </row>
    <row r="646" ht="12.75">
      <c r="B646" s="8"/>
      <c r="C646" s="8"/>
      <c r="D646" s="8"/>
      <c r="M646" s="8"/>
      <c r="N646" s="8"/>
    </row>
    <row r="647" ht="12.75">
      <c r="B647" s="8"/>
      <c r="C647" s="8"/>
      <c r="D647" s="8"/>
      <c r="M647" s="8"/>
      <c r="N647" s="8"/>
    </row>
    <row r="648" ht="12.75">
      <c r="B648" s="8"/>
      <c r="C648" s="8"/>
      <c r="D648" s="8"/>
      <c r="M648" s="8"/>
      <c r="N648" s="8"/>
    </row>
    <row r="649" ht="12.75">
      <c r="B649" s="8"/>
      <c r="C649" s="8"/>
      <c r="D649" s="8"/>
      <c r="M649" s="8"/>
      <c r="N649" s="8"/>
    </row>
    <row r="650" ht="12.75">
      <c r="B650" s="8"/>
      <c r="C650" s="8"/>
      <c r="D650" s="8"/>
      <c r="M650" s="8"/>
      <c r="N650" s="8"/>
    </row>
    <row r="651" ht="12.75">
      <c r="B651" s="8"/>
      <c r="C651" s="8"/>
      <c r="D651" s="8"/>
      <c r="M651" s="8"/>
      <c r="N651" s="8"/>
    </row>
    <row r="652" ht="12.75">
      <c r="B652" s="8"/>
      <c r="C652" s="8"/>
      <c r="D652" s="8"/>
      <c r="M652" s="8"/>
      <c r="N652" s="8"/>
    </row>
    <row r="653" ht="12.75">
      <c r="B653" s="8"/>
      <c r="C653" s="8"/>
      <c r="D653" s="8"/>
      <c r="M653" s="8"/>
      <c r="N653" s="8"/>
    </row>
    <row r="654" ht="12.75">
      <c r="B654" s="8"/>
      <c r="C654" s="8"/>
      <c r="D654" s="8"/>
      <c r="M654" s="8"/>
      <c r="N654" s="8"/>
    </row>
    <row r="655" ht="12.75">
      <c r="B655" s="8"/>
      <c r="C655" s="8"/>
      <c r="D655" s="8"/>
      <c r="M655" s="8"/>
      <c r="N655" s="8"/>
    </row>
    <row r="656" ht="12.75">
      <c r="B656" s="8"/>
      <c r="C656" s="8"/>
      <c r="D656" s="8"/>
      <c r="M656" s="8"/>
      <c r="N656" s="8"/>
    </row>
    <row r="657" ht="12.75">
      <c r="B657" s="8"/>
      <c r="C657" s="8"/>
      <c r="D657" s="8"/>
      <c r="M657" s="8"/>
      <c r="N657" s="8"/>
    </row>
    <row r="658" ht="12.75">
      <c r="B658" s="8"/>
      <c r="C658" s="8"/>
      <c r="D658" s="8"/>
      <c r="M658" s="8"/>
      <c r="N658" s="8"/>
    </row>
    <row r="659" ht="12.75">
      <c r="B659" s="8"/>
      <c r="C659" s="8"/>
      <c r="D659" s="8"/>
      <c r="M659" s="8"/>
      <c r="N659" s="8"/>
    </row>
    <row r="660" ht="12.75">
      <c r="B660" s="8"/>
      <c r="C660" s="8"/>
      <c r="D660" s="8"/>
      <c r="M660" s="8"/>
      <c r="N660" s="8"/>
    </row>
    <row r="661" ht="12.75">
      <c r="B661" s="8"/>
      <c r="C661" s="8"/>
      <c r="D661" s="8"/>
      <c r="M661" s="8"/>
      <c r="N661" s="8"/>
    </row>
    <row r="662" ht="12.75">
      <c r="B662" s="8"/>
      <c r="C662" s="8"/>
      <c r="D662" s="8"/>
      <c r="M662" s="8"/>
      <c r="N662" s="8"/>
    </row>
    <row r="663" ht="12.75">
      <c r="B663" s="8"/>
      <c r="C663" s="8"/>
      <c r="D663" s="8"/>
      <c r="M663" s="8"/>
      <c r="N663" s="8"/>
    </row>
    <row r="664" ht="12.75">
      <c r="B664" s="8"/>
      <c r="C664" s="8"/>
      <c r="D664" s="8"/>
      <c r="M664" s="8"/>
      <c r="N664" s="8"/>
    </row>
    <row r="665" ht="12.75">
      <c r="B665" s="8"/>
      <c r="C665" s="8"/>
      <c r="D665" s="8"/>
      <c r="M665" s="8"/>
      <c r="N665" s="8"/>
    </row>
    <row r="666" ht="12.75">
      <c r="B666" s="8"/>
      <c r="C666" s="8"/>
      <c r="D666" s="8"/>
      <c r="M666" s="8"/>
      <c r="N666" s="8"/>
    </row>
    <row r="667" ht="12.75">
      <c r="B667" s="8"/>
      <c r="C667" s="8"/>
      <c r="D667" s="8"/>
      <c r="M667" s="8"/>
      <c r="N667" s="8"/>
    </row>
    <row r="668" ht="12.75">
      <c r="B668" s="8"/>
      <c r="C668" s="8"/>
      <c r="D668" s="8"/>
      <c r="M668" s="8"/>
      <c r="N668" s="8"/>
    </row>
    <row r="669" ht="12.75">
      <c r="B669" s="8"/>
      <c r="C669" s="8"/>
      <c r="D669" s="8"/>
      <c r="M669" s="8"/>
      <c r="N669" s="8"/>
    </row>
    <row r="670" ht="12.75">
      <c r="B670" s="8"/>
      <c r="C670" s="8"/>
      <c r="D670" s="8"/>
      <c r="M670" s="8"/>
      <c r="N670" s="8"/>
    </row>
    <row r="671" ht="12.75">
      <c r="B671" s="8"/>
      <c r="C671" s="8"/>
      <c r="D671" s="8"/>
      <c r="M671" s="8"/>
      <c r="N671" s="8"/>
    </row>
    <row r="672" ht="12.75">
      <c r="B672" s="8"/>
      <c r="C672" s="8"/>
      <c r="D672" s="8"/>
      <c r="M672" s="8"/>
      <c r="N672" s="8"/>
    </row>
    <row r="673" ht="12.75">
      <c r="B673" s="8"/>
      <c r="C673" s="8"/>
      <c r="D673" s="8"/>
      <c r="M673" s="8"/>
      <c r="N673" s="8"/>
    </row>
    <row r="674" ht="12.75">
      <c r="B674" s="8"/>
      <c r="C674" s="8"/>
      <c r="D674" s="8"/>
      <c r="M674" s="8"/>
      <c r="N674" s="8"/>
    </row>
    <row r="675" ht="12.75">
      <c r="B675" s="8"/>
      <c r="C675" s="8"/>
      <c r="D675" s="8"/>
      <c r="M675" s="8"/>
      <c r="N675" s="8"/>
    </row>
    <row r="676" ht="12.75">
      <c r="B676" s="8"/>
      <c r="C676" s="8"/>
      <c r="D676" s="8"/>
      <c r="M676" s="8"/>
      <c r="N676" s="8"/>
    </row>
    <row r="677" ht="12.75">
      <c r="B677" s="8"/>
      <c r="C677" s="8"/>
      <c r="D677" s="8"/>
      <c r="M677" s="8"/>
      <c r="N677" s="8"/>
    </row>
    <row r="678" ht="12.75">
      <c r="B678" s="8"/>
      <c r="C678" s="8"/>
      <c r="D678" s="8"/>
      <c r="M678" s="8"/>
      <c r="N678" s="8"/>
    </row>
    <row r="679" ht="12.75">
      <c r="B679" s="8"/>
      <c r="C679" s="8"/>
      <c r="D679" s="8"/>
      <c r="M679" s="8"/>
      <c r="N679" s="8"/>
    </row>
    <row r="680" ht="12.75">
      <c r="B680" s="8"/>
      <c r="C680" s="8"/>
      <c r="D680" s="8"/>
      <c r="M680" s="8"/>
      <c r="N680" s="8"/>
    </row>
    <row r="681" ht="12.75">
      <c r="B681" s="8"/>
      <c r="C681" s="8"/>
      <c r="D681" s="8"/>
      <c r="M681" s="8"/>
      <c r="N681" s="8"/>
    </row>
    <row r="682" ht="12.75">
      <c r="B682" s="8"/>
      <c r="C682" s="8"/>
      <c r="D682" s="8"/>
      <c r="M682" s="8"/>
      <c r="N682" s="8"/>
    </row>
    <row r="683" ht="12.75">
      <c r="B683" s="8"/>
      <c r="C683" s="8"/>
      <c r="D683" s="8"/>
      <c r="M683" s="8"/>
      <c r="N683" s="8"/>
    </row>
    <row r="684" ht="12.75">
      <c r="B684" s="8"/>
      <c r="C684" s="8"/>
      <c r="D684" s="8"/>
      <c r="M684" s="8"/>
      <c r="N684" s="8"/>
    </row>
    <row r="685" ht="12.75">
      <c r="B685" s="8"/>
      <c r="C685" s="8"/>
      <c r="D685" s="8"/>
      <c r="M685" s="8"/>
      <c r="N685" s="8"/>
    </row>
    <row r="686" ht="12.75">
      <c r="B686" s="8"/>
      <c r="C686" s="8"/>
      <c r="D686" s="8"/>
      <c r="M686" s="8"/>
      <c r="N686" s="8"/>
    </row>
    <row r="687" ht="12.75">
      <c r="B687" s="8"/>
      <c r="C687" s="8"/>
      <c r="D687" s="8"/>
      <c r="M687" s="8"/>
      <c r="N687" s="8"/>
    </row>
    <row r="688" ht="12.75">
      <c r="B688" s="8"/>
      <c r="C688" s="8"/>
      <c r="D688" s="8"/>
      <c r="M688" s="8"/>
      <c r="N688" s="8"/>
    </row>
    <row r="689" ht="12.75">
      <c r="B689" s="8"/>
      <c r="C689" s="8"/>
      <c r="D689" s="8"/>
      <c r="M689" s="8"/>
      <c r="N689" s="8"/>
    </row>
    <row r="690" ht="12.75">
      <c r="B690" s="8"/>
      <c r="C690" s="8"/>
      <c r="D690" s="8"/>
      <c r="M690" s="8"/>
      <c r="N690" s="8"/>
    </row>
    <row r="691" ht="12.75">
      <c r="B691" s="8"/>
      <c r="C691" s="8"/>
      <c r="D691" s="8"/>
      <c r="M691" s="8"/>
      <c r="N691" s="8"/>
    </row>
    <row r="692" ht="12.75">
      <c r="B692" s="8"/>
      <c r="C692" s="8"/>
      <c r="D692" s="8"/>
      <c r="M692" s="8"/>
      <c r="N692" s="8"/>
    </row>
    <row r="693" ht="12.75">
      <c r="B693" s="8"/>
      <c r="C693" s="8"/>
      <c r="D693" s="8"/>
      <c r="M693" s="8"/>
      <c r="N693" s="8"/>
    </row>
    <row r="694" ht="12.75">
      <c r="B694" s="8"/>
      <c r="C694" s="8"/>
      <c r="D694" s="8"/>
      <c r="M694" s="8"/>
      <c r="N694" s="8"/>
    </row>
    <row r="695" ht="12.75">
      <c r="B695" s="8"/>
      <c r="C695" s="8"/>
      <c r="D695" s="8"/>
      <c r="M695" s="8"/>
      <c r="N695" s="8"/>
    </row>
    <row r="696" ht="12.75">
      <c r="B696" s="8"/>
      <c r="C696" s="8"/>
      <c r="D696" s="8"/>
      <c r="M696" s="8"/>
      <c r="N696" s="8"/>
    </row>
    <row r="697" ht="12.75">
      <c r="B697" s="8"/>
      <c r="C697" s="8"/>
      <c r="D697" s="8"/>
      <c r="M697" s="8"/>
      <c r="N697" s="8"/>
    </row>
    <row r="698" ht="12.75">
      <c r="B698" s="8"/>
      <c r="C698" s="8"/>
      <c r="D698" s="8"/>
      <c r="M698" s="8"/>
      <c r="N698" s="8"/>
    </row>
    <row r="699" ht="12.75">
      <c r="B699" s="8"/>
      <c r="C699" s="8"/>
      <c r="D699" s="8"/>
      <c r="M699" s="8"/>
      <c r="N699" s="8"/>
    </row>
    <row r="700" ht="12.75">
      <c r="B700" s="8"/>
      <c r="C700" s="8"/>
      <c r="D700" s="8"/>
      <c r="M700" s="8"/>
      <c r="N700" s="8"/>
    </row>
    <row r="701" ht="12.75">
      <c r="B701" s="8"/>
      <c r="C701" s="8"/>
      <c r="D701" s="8"/>
      <c r="M701" s="8"/>
      <c r="N701" s="8"/>
    </row>
    <row r="702" ht="12.75">
      <c r="B702" s="8"/>
      <c r="C702" s="8"/>
      <c r="D702" s="8"/>
      <c r="M702" s="8"/>
      <c r="N702" s="8"/>
    </row>
    <row r="703" ht="12.75">
      <c r="B703" s="8"/>
      <c r="C703" s="8"/>
      <c r="D703" s="8"/>
      <c r="M703" s="8"/>
      <c r="N703" s="8"/>
    </row>
    <row r="704" ht="12.75">
      <c r="B704" s="8"/>
      <c r="C704" s="8"/>
      <c r="D704" s="8"/>
      <c r="M704" s="8"/>
      <c r="N704" s="8"/>
    </row>
    <row r="705" ht="12.75">
      <c r="B705" s="8"/>
      <c r="C705" s="8"/>
      <c r="D705" s="8"/>
      <c r="M705" s="8"/>
      <c r="N705" s="8"/>
    </row>
    <row r="706" ht="12.75">
      <c r="B706" s="8"/>
      <c r="C706" s="8"/>
      <c r="D706" s="8"/>
      <c r="M706" s="8"/>
      <c r="N706" s="8"/>
    </row>
    <row r="707" ht="12.75">
      <c r="B707" s="8"/>
      <c r="C707" s="8"/>
      <c r="D707" s="8"/>
      <c r="M707" s="8"/>
      <c r="N707" s="8"/>
    </row>
    <row r="708" ht="12.75">
      <c r="B708" s="8"/>
      <c r="C708" s="8"/>
      <c r="D708" s="8"/>
      <c r="M708" s="8"/>
      <c r="N708" s="8"/>
    </row>
    <row r="709" ht="12.75">
      <c r="B709" s="8"/>
      <c r="C709" s="8"/>
      <c r="D709" s="8"/>
      <c r="M709" s="8"/>
      <c r="N709" s="8"/>
    </row>
    <row r="710" ht="12.75">
      <c r="B710" s="8"/>
      <c r="C710" s="8"/>
      <c r="D710" s="8"/>
      <c r="M710" s="8"/>
      <c r="N710" s="8"/>
    </row>
    <row r="711" ht="12.75">
      <c r="B711" s="8"/>
      <c r="C711" s="8"/>
      <c r="D711" s="8"/>
      <c r="M711" s="8"/>
      <c r="N711" s="8"/>
    </row>
    <row r="712" ht="12.75">
      <c r="B712" s="8"/>
      <c r="C712" s="8"/>
      <c r="D712" s="8"/>
      <c r="M712" s="8"/>
      <c r="N712" s="8"/>
    </row>
    <row r="713" ht="12.75">
      <c r="B713" s="8"/>
      <c r="C713" s="8"/>
      <c r="D713" s="8"/>
      <c r="M713" s="8"/>
      <c r="N713" s="8"/>
    </row>
    <row r="714" ht="12.75">
      <c r="B714" s="8"/>
      <c r="C714" s="8"/>
      <c r="D714" s="8"/>
      <c r="M714" s="8"/>
      <c r="N714" s="8"/>
    </row>
    <row r="715" ht="12.75">
      <c r="B715" s="8"/>
      <c r="C715" s="8"/>
      <c r="D715" s="8"/>
      <c r="M715" s="8"/>
      <c r="N715" s="8"/>
    </row>
    <row r="716" ht="12.75">
      <c r="B716" s="8"/>
      <c r="C716" s="8"/>
      <c r="D716" s="8"/>
      <c r="M716" s="8"/>
      <c r="N716" s="8"/>
    </row>
    <row r="717" ht="12.75">
      <c r="B717" s="8"/>
      <c r="C717" s="8"/>
      <c r="D717" s="8"/>
      <c r="M717" s="8"/>
      <c r="N717" s="8"/>
    </row>
    <row r="718" ht="12.75">
      <c r="B718" s="8"/>
      <c r="C718" s="8"/>
      <c r="D718" s="8"/>
      <c r="M718" s="8"/>
      <c r="N718" s="8"/>
    </row>
    <row r="719" ht="12.75">
      <c r="B719" s="8"/>
      <c r="C719" s="8"/>
      <c r="D719" s="8"/>
      <c r="M719" s="8"/>
      <c r="N719" s="8"/>
    </row>
    <row r="720" ht="12.75">
      <c r="B720" s="8"/>
      <c r="C720" s="8"/>
      <c r="D720" s="8"/>
      <c r="M720" s="8"/>
      <c r="N720" s="8"/>
    </row>
    <row r="721" ht="12.75">
      <c r="B721" s="8"/>
      <c r="C721" s="8"/>
      <c r="D721" s="8"/>
      <c r="M721" s="8"/>
      <c r="N721" s="8"/>
    </row>
    <row r="722" ht="12.75">
      <c r="B722" s="8"/>
      <c r="C722" s="8"/>
      <c r="D722" s="8"/>
      <c r="M722" s="8"/>
      <c r="N722" s="8"/>
    </row>
    <row r="723" ht="12.75">
      <c r="B723" s="8"/>
      <c r="C723" s="8"/>
      <c r="D723" s="8"/>
      <c r="M723" s="8"/>
      <c r="N723" s="8"/>
    </row>
    <row r="724" ht="12.75">
      <c r="B724" s="8"/>
      <c r="C724" s="8"/>
      <c r="D724" s="8"/>
      <c r="M724" s="8"/>
      <c r="N724" s="8"/>
    </row>
    <row r="725" ht="12.75">
      <c r="B725" s="8"/>
      <c r="C725" s="8"/>
      <c r="D725" s="8"/>
      <c r="M725" s="8"/>
      <c r="N725" s="8"/>
    </row>
    <row r="726" ht="12.75">
      <c r="B726" s="8"/>
      <c r="C726" s="8"/>
      <c r="D726" s="8"/>
      <c r="M726" s="8"/>
      <c r="N726" s="8"/>
    </row>
    <row r="727" ht="12.75">
      <c r="B727" s="8"/>
      <c r="C727" s="8"/>
      <c r="D727" s="8"/>
      <c r="M727" s="8"/>
      <c r="N727" s="8"/>
    </row>
    <row r="728" ht="12.75">
      <c r="B728" s="8"/>
      <c r="C728" s="8"/>
      <c r="D728" s="8"/>
      <c r="M728" s="8"/>
      <c r="N728" s="8"/>
    </row>
    <row r="729" ht="12.75">
      <c r="B729" s="8"/>
      <c r="C729" s="8"/>
      <c r="D729" s="8"/>
      <c r="M729" s="8"/>
      <c r="N729" s="8"/>
    </row>
    <row r="730" ht="12.75">
      <c r="B730" s="8"/>
      <c r="C730" s="8"/>
      <c r="D730" s="8"/>
      <c r="M730" s="8"/>
      <c r="N730" s="8"/>
    </row>
    <row r="731" ht="12.75">
      <c r="B731" s="8"/>
      <c r="C731" s="8"/>
      <c r="D731" s="8"/>
      <c r="M731" s="8"/>
      <c r="N731" s="8"/>
    </row>
    <row r="732" ht="12.75">
      <c r="B732" s="8"/>
      <c r="C732" s="8"/>
      <c r="D732" s="8"/>
      <c r="M732" s="8"/>
      <c r="N732" s="8"/>
    </row>
    <row r="733" ht="12.75">
      <c r="B733" s="8"/>
      <c r="C733" s="8"/>
      <c r="D733" s="8"/>
      <c r="M733" s="8"/>
      <c r="N733" s="8"/>
    </row>
    <row r="734" ht="12.75">
      <c r="B734" s="8"/>
      <c r="C734" s="8"/>
      <c r="D734" s="8"/>
      <c r="M734" s="8"/>
      <c r="N734" s="8"/>
    </row>
    <row r="735" ht="12.75">
      <c r="B735" s="8"/>
      <c r="C735" s="8"/>
      <c r="D735" s="8"/>
      <c r="M735" s="8"/>
      <c r="N735" s="8"/>
    </row>
    <row r="736" ht="12.75">
      <c r="B736" s="8"/>
      <c r="C736" s="8"/>
      <c r="D736" s="8"/>
      <c r="M736" s="8"/>
      <c r="N736" s="8"/>
    </row>
    <row r="737" ht="12.75">
      <c r="B737" s="8"/>
      <c r="C737" s="8"/>
      <c r="D737" s="8"/>
      <c r="M737" s="8"/>
      <c r="N737" s="8"/>
    </row>
    <row r="738" ht="12.75">
      <c r="B738" s="8"/>
      <c r="C738" s="8"/>
      <c r="D738" s="8"/>
      <c r="M738" s="8"/>
      <c r="N738" s="8"/>
    </row>
    <row r="739" ht="12.75">
      <c r="B739" s="8"/>
      <c r="C739" s="8"/>
      <c r="D739" s="8"/>
      <c r="M739" s="8"/>
      <c r="N739" s="8"/>
    </row>
    <row r="740" ht="12.75">
      <c r="B740" s="8"/>
      <c r="C740" s="8"/>
      <c r="D740" s="8"/>
      <c r="M740" s="8"/>
      <c r="N740" s="8"/>
    </row>
    <row r="741" ht="12.75">
      <c r="B741" s="8"/>
      <c r="C741" s="8"/>
      <c r="D741" s="8"/>
      <c r="M741" s="8"/>
      <c r="N741" s="8"/>
    </row>
    <row r="742" ht="12.75">
      <c r="B742" s="8"/>
      <c r="C742" s="8"/>
      <c r="D742" s="8"/>
      <c r="M742" s="8"/>
      <c r="N742" s="8"/>
    </row>
    <row r="743" ht="12.75">
      <c r="B743" s="8"/>
      <c r="C743" s="8"/>
      <c r="D743" s="8"/>
      <c r="M743" s="8"/>
      <c r="N743" s="8"/>
    </row>
    <row r="744" ht="12.75">
      <c r="B744" s="8"/>
      <c r="C744" s="8"/>
      <c r="D744" s="8"/>
      <c r="M744" s="8"/>
      <c r="N744" s="8"/>
    </row>
    <row r="745" ht="12.75">
      <c r="B745" s="8"/>
      <c r="C745" s="8"/>
      <c r="D745" s="8"/>
      <c r="M745" s="8"/>
      <c r="N745" s="8"/>
    </row>
    <row r="746" ht="12.75">
      <c r="B746" s="8"/>
      <c r="C746" s="8"/>
      <c r="D746" s="8"/>
      <c r="M746" s="8"/>
      <c r="N746" s="8"/>
    </row>
    <row r="747" ht="12.75">
      <c r="B747" s="8"/>
      <c r="C747" s="8"/>
      <c r="D747" s="8"/>
      <c r="M747" s="8"/>
      <c r="N747" s="8"/>
    </row>
    <row r="748" ht="12.75">
      <c r="B748" s="8"/>
      <c r="C748" s="8"/>
      <c r="D748" s="8"/>
      <c r="M748" s="8"/>
      <c r="N748" s="8"/>
    </row>
    <row r="749" ht="12.75">
      <c r="B749" s="8"/>
      <c r="C749" s="8"/>
      <c r="D749" s="8"/>
      <c r="M749" s="8"/>
      <c r="N749" s="8"/>
    </row>
    <row r="750" ht="12.75">
      <c r="B750" s="8"/>
      <c r="C750" s="8"/>
      <c r="D750" s="8"/>
      <c r="M750" s="8"/>
      <c r="N750" s="8"/>
    </row>
    <row r="751" ht="12.75">
      <c r="B751" s="8"/>
      <c r="C751" s="8"/>
      <c r="D751" s="8"/>
      <c r="M751" s="8"/>
      <c r="N751" s="8"/>
    </row>
    <row r="752" ht="12.75">
      <c r="B752" s="8"/>
      <c r="C752" s="8"/>
      <c r="D752" s="8"/>
      <c r="M752" s="8"/>
      <c r="N752" s="8"/>
    </row>
    <row r="753" ht="12.75">
      <c r="B753" s="8"/>
      <c r="C753" s="8"/>
      <c r="D753" s="8"/>
      <c r="M753" s="8"/>
      <c r="N753" s="8"/>
    </row>
    <row r="754" ht="12.75">
      <c r="B754" s="8"/>
      <c r="C754" s="8"/>
      <c r="D754" s="8"/>
      <c r="M754" s="8"/>
      <c r="N754" s="8"/>
    </row>
    <row r="755" ht="12.75">
      <c r="B755" s="8"/>
      <c r="C755" s="8"/>
      <c r="D755" s="8"/>
      <c r="M755" s="8"/>
      <c r="N755" s="8"/>
    </row>
    <row r="756" ht="12.75">
      <c r="B756" s="8"/>
      <c r="C756" s="8"/>
      <c r="D756" s="8"/>
      <c r="M756" s="8"/>
      <c r="N756" s="8"/>
    </row>
    <row r="757" ht="12.75">
      <c r="B757" s="8"/>
      <c r="C757" s="8"/>
      <c r="D757" s="8"/>
      <c r="M757" s="8"/>
      <c r="N757" s="8"/>
    </row>
    <row r="758" ht="12.75">
      <c r="B758" s="8"/>
      <c r="C758" s="8"/>
      <c r="D758" s="8"/>
      <c r="M758" s="8"/>
      <c r="N758" s="8"/>
    </row>
    <row r="759" ht="12.75">
      <c r="B759" s="8"/>
      <c r="C759" s="8"/>
      <c r="D759" s="8"/>
      <c r="M759" s="8"/>
      <c r="N759" s="8"/>
    </row>
    <row r="760" ht="12.75">
      <c r="B760" s="8"/>
      <c r="C760" s="8"/>
      <c r="D760" s="8"/>
      <c r="M760" s="8"/>
      <c r="N760" s="8"/>
    </row>
    <row r="761" ht="12.75">
      <c r="B761" s="8"/>
      <c r="C761" s="8"/>
      <c r="D761" s="8"/>
      <c r="M761" s="8"/>
      <c r="N761" s="8"/>
    </row>
    <row r="762" ht="12.75">
      <c r="B762" s="8"/>
      <c r="C762" s="8"/>
      <c r="D762" s="8"/>
      <c r="M762" s="8"/>
      <c r="N762" s="8"/>
    </row>
    <row r="763" ht="12.75">
      <c r="B763" s="8"/>
      <c r="C763" s="8"/>
      <c r="D763" s="8"/>
      <c r="M763" s="8"/>
      <c r="N763" s="8"/>
    </row>
    <row r="764" ht="12.75">
      <c r="B764" s="8"/>
      <c r="C764" s="8"/>
      <c r="D764" s="8"/>
      <c r="M764" s="8"/>
      <c r="N764" s="8"/>
    </row>
    <row r="765" ht="12.75">
      <c r="B765" s="8"/>
      <c r="C765" s="8"/>
      <c r="D765" s="8"/>
      <c r="M765" s="8"/>
      <c r="N765" s="8"/>
    </row>
    <row r="766" ht="12.75">
      <c r="B766" s="8"/>
      <c r="C766" s="8"/>
      <c r="D766" s="8"/>
      <c r="M766" s="8"/>
      <c r="N766" s="8"/>
    </row>
    <row r="767" ht="12.75">
      <c r="B767" s="8"/>
      <c r="C767" s="8"/>
      <c r="D767" s="8"/>
      <c r="M767" s="8"/>
      <c r="N767" s="8"/>
    </row>
    <row r="768" ht="12.75">
      <c r="B768" s="8"/>
      <c r="C768" s="8"/>
      <c r="D768" s="8"/>
      <c r="M768" s="8"/>
      <c r="N768" s="8"/>
    </row>
    <row r="769" ht="12.75">
      <c r="B769" s="8"/>
      <c r="C769" s="8"/>
      <c r="D769" s="8"/>
      <c r="M769" s="8"/>
      <c r="N769" s="8"/>
    </row>
    <row r="770" ht="12.75">
      <c r="B770" s="8"/>
      <c r="C770" s="8"/>
      <c r="D770" s="8"/>
      <c r="M770" s="8"/>
      <c r="N770" s="8"/>
    </row>
    <row r="771" ht="12.75">
      <c r="B771" s="8"/>
      <c r="C771" s="8"/>
      <c r="D771" s="8"/>
      <c r="M771" s="8"/>
      <c r="N771" s="8"/>
    </row>
    <row r="772" ht="12.75">
      <c r="B772" s="8"/>
      <c r="C772" s="8"/>
      <c r="D772" s="8"/>
      <c r="M772" s="8"/>
      <c r="N772" s="8"/>
    </row>
    <row r="773" ht="12.75">
      <c r="B773" s="8"/>
      <c r="C773" s="8"/>
      <c r="D773" s="8"/>
      <c r="M773" s="8"/>
      <c r="N773" s="8"/>
    </row>
    <row r="774" ht="12.75">
      <c r="B774" s="8"/>
      <c r="C774" s="8"/>
      <c r="D774" s="8"/>
      <c r="M774" s="8"/>
      <c r="N774" s="8"/>
    </row>
    <row r="775" ht="12.75">
      <c r="B775" s="8"/>
      <c r="C775" s="8"/>
      <c r="D775" s="8"/>
      <c r="M775" s="8"/>
      <c r="N775" s="8"/>
    </row>
    <row r="776" ht="12.75">
      <c r="B776" s="8"/>
      <c r="C776" s="8"/>
      <c r="D776" s="8"/>
      <c r="M776" s="8"/>
      <c r="N776" s="8"/>
    </row>
    <row r="777" ht="12.75">
      <c r="B777" s="8"/>
      <c r="C777" s="8"/>
      <c r="D777" s="8"/>
      <c r="M777" s="8"/>
      <c r="N777" s="8"/>
    </row>
    <row r="778" ht="12.75">
      <c r="B778" s="8"/>
      <c r="C778" s="8"/>
      <c r="D778" s="8"/>
      <c r="M778" s="8"/>
      <c r="N778" s="8"/>
    </row>
    <row r="779" ht="12.75">
      <c r="B779" s="8"/>
      <c r="C779" s="8"/>
      <c r="D779" s="8"/>
      <c r="M779" s="8"/>
      <c r="N779" s="8"/>
    </row>
    <row r="780" ht="12.75">
      <c r="B780" s="8"/>
      <c r="C780" s="8"/>
      <c r="D780" s="8"/>
      <c r="M780" s="8"/>
      <c r="N780" s="8"/>
    </row>
    <row r="781" ht="12.75">
      <c r="B781" s="8"/>
      <c r="C781" s="8"/>
      <c r="D781" s="8"/>
      <c r="M781" s="8"/>
      <c r="N781" s="8"/>
    </row>
    <row r="782" ht="12.75">
      <c r="B782" s="8"/>
      <c r="C782" s="8"/>
      <c r="D782" s="8"/>
      <c r="M782" s="8"/>
      <c r="N782" s="8"/>
    </row>
    <row r="783" ht="12.75">
      <c r="B783" s="8"/>
      <c r="C783" s="8"/>
      <c r="D783" s="8"/>
      <c r="M783" s="8"/>
      <c r="N783" s="8"/>
    </row>
    <row r="784" ht="12.75">
      <c r="B784" s="8"/>
      <c r="C784" s="8"/>
      <c r="D784" s="8"/>
      <c r="M784" s="8"/>
      <c r="N784" s="8"/>
    </row>
    <row r="785" ht="12.75">
      <c r="B785" s="8"/>
      <c r="C785" s="8"/>
      <c r="D785" s="8"/>
      <c r="M785" s="8"/>
      <c r="N785" s="8"/>
    </row>
    <row r="786" ht="12.75">
      <c r="B786" s="8"/>
      <c r="C786" s="8"/>
      <c r="D786" s="8"/>
      <c r="M786" s="8"/>
      <c r="N786" s="8"/>
    </row>
    <row r="787" ht="12.75">
      <c r="B787" s="8"/>
      <c r="C787" s="8"/>
      <c r="D787" s="8"/>
      <c r="M787" s="8"/>
      <c r="N787" s="8"/>
    </row>
    <row r="788" ht="12.75">
      <c r="B788" s="8"/>
      <c r="C788" s="8"/>
      <c r="D788" s="8"/>
      <c r="M788" s="8"/>
      <c r="N788" s="8"/>
    </row>
    <row r="789" ht="12.75">
      <c r="B789" s="8"/>
      <c r="C789" s="8"/>
      <c r="D789" s="8"/>
      <c r="M789" s="8"/>
      <c r="N789" s="8"/>
    </row>
    <row r="790" ht="12.75">
      <c r="B790" s="8"/>
      <c r="C790" s="8"/>
      <c r="D790" s="8"/>
      <c r="M790" s="8"/>
      <c r="N790" s="8"/>
    </row>
    <row r="791" ht="12.75">
      <c r="B791" s="8"/>
      <c r="C791" s="8"/>
      <c r="D791" s="8"/>
      <c r="M791" s="8"/>
      <c r="N791" s="8"/>
    </row>
    <row r="792" ht="12.75">
      <c r="B792" s="8"/>
      <c r="C792" s="8"/>
      <c r="D792" s="8"/>
      <c r="M792" s="8"/>
      <c r="N792" s="8"/>
    </row>
    <row r="793" ht="12.75">
      <c r="B793" s="8"/>
      <c r="C793" s="8"/>
      <c r="D793" s="8"/>
      <c r="M793" s="8"/>
      <c r="N793" s="8"/>
    </row>
    <row r="794" ht="12.75">
      <c r="B794" s="8"/>
      <c r="C794" s="8"/>
      <c r="D794" s="8"/>
      <c r="M794" s="8"/>
      <c r="N794" s="8"/>
    </row>
    <row r="795" ht="12.75">
      <c r="B795" s="8"/>
      <c r="C795" s="8"/>
      <c r="D795" s="8"/>
      <c r="M795" s="8"/>
      <c r="N795" s="8"/>
    </row>
    <row r="796" ht="12.75">
      <c r="B796" s="8"/>
      <c r="C796" s="8"/>
      <c r="D796" s="8"/>
      <c r="M796" s="8"/>
      <c r="N796" s="8"/>
    </row>
    <row r="797" ht="12.75">
      <c r="B797" s="8"/>
      <c r="C797" s="8"/>
      <c r="D797" s="8"/>
      <c r="M797" s="8"/>
      <c r="N797" s="8"/>
    </row>
    <row r="798" ht="12.75">
      <c r="B798" s="8"/>
      <c r="C798" s="8"/>
      <c r="D798" s="8"/>
      <c r="M798" s="8"/>
      <c r="N798" s="8"/>
    </row>
    <row r="799" ht="12.75">
      <c r="B799" s="8"/>
      <c r="C799" s="8"/>
      <c r="D799" s="8"/>
      <c r="M799" s="8"/>
      <c r="N799" s="8"/>
    </row>
    <row r="800" ht="12.75">
      <c r="B800" s="8"/>
      <c r="C800" s="8"/>
      <c r="D800" s="8"/>
      <c r="M800" s="8"/>
      <c r="N800" s="8"/>
    </row>
    <row r="801" ht="12.75">
      <c r="B801" s="8"/>
      <c r="C801" s="8"/>
      <c r="D801" s="8"/>
      <c r="M801" s="8"/>
      <c r="N801" s="8"/>
    </row>
    <row r="802" ht="12.75">
      <c r="B802" s="8"/>
      <c r="C802" s="8"/>
      <c r="D802" s="8"/>
      <c r="M802" s="8"/>
      <c r="N802" s="8"/>
    </row>
    <row r="803" ht="12.75">
      <c r="B803" s="8"/>
      <c r="C803" s="8"/>
      <c r="D803" s="8"/>
      <c r="M803" s="8"/>
      <c r="N803" s="8"/>
    </row>
    <row r="804" ht="12.75">
      <c r="B804" s="8"/>
      <c r="C804" s="8"/>
      <c r="D804" s="8"/>
      <c r="M804" s="8"/>
      <c r="N804" s="8"/>
    </row>
    <row r="805" ht="12.75">
      <c r="B805" s="8"/>
      <c r="C805" s="8"/>
      <c r="D805" s="8"/>
      <c r="M805" s="8"/>
      <c r="N805" s="8"/>
    </row>
    <row r="806" ht="12.75">
      <c r="B806" s="8"/>
      <c r="C806" s="8"/>
      <c r="D806" s="8"/>
      <c r="M806" s="8"/>
      <c r="N806" s="8"/>
    </row>
    <row r="807" ht="12.75">
      <c r="B807" s="8"/>
      <c r="C807" s="8"/>
      <c r="D807" s="8"/>
      <c r="M807" s="8"/>
      <c r="N807" s="8"/>
    </row>
    <row r="808" ht="12.75">
      <c r="B808" s="8"/>
      <c r="C808" s="8"/>
      <c r="D808" s="8"/>
      <c r="M808" s="8"/>
      <c r="N808" s="8"/>
    </row>
    <row r="809" ht="12.75">
      <c r="B809" s="8"/>
      <c r="C809" s="8"/>
      <c r="D809" s="8"/>
      <c r="M809" s="8"/>
      <c r="N809" s="8"/>
    </row>
    <row r="810" ht="12.75">
      <c r="B810" s="8"/>
      <c r="C810" s="8"/>
      <c r="D810" s="8"/>
      <c r="M810" s="8"/>
      <c r="N810" s="8"/>
    </row>
    <row r="811" ht="12.75">
      <c r="B811" s="8"/>
      <c r="C811" s="8"/>
      <c r="D811" s="8"/>
      <c r="M811" s="8"/>
      <c r="N811" s="8"/>
    </row>
    <row r="812" ht="12.75">
      <c r="B812" s="8"/>
      <c r="C812" s="8"/>
      <c r="D812" s="8"/>
      <c r="M812" s="8"/>
      <c r="N812" s="8"/>
    </row>
    <row r="813" ht="12.75">
      <c r="B813" s="8"/>
      <c r="C813" s="8"/>
      <c r="D813" s="8"/>
      <c r="M813" s="8"/>
      <c r="N813" s="8"/>
    </row>
    <row r="814" ht="12.75">
      <c r="B814" s="8"/>
      <c r="C814" s="8"/>
      <c r="D814" s="8"/>
      <c r="M814" s="8"/>
      <c r="N814" s="8"/>
    </row>
    <row r="815" ht="12.75">
      <c r="B815" s="8"/>
      <c r="C815" s="8"/>
      <c r="D815" s="8"/>
      <c r="M815" s="8"/>
      <c r="N815" s="8"/>
    </row>
    <row r="816" ht="12.75">
      <c r="B816" s="8"/>
      <c r="C816" s="8"/>
      <c r="D816" s="8"/>
      <c r="M816" s="8"/>
      <c r="N816" s="8"/>
    </row>
    <row r="817" ht="12.75">
      <c r="B817" s="8"/>
      <c r="C817" s="8"/>
      <c r="D817" s="8"/>
      <c r="M817" s="8"/>
      <c r="N817" s="8"/>
    </row>
    <row r="818" ht="12.75">
      <c r="B818" s="8"/>
      <c r="C818" s="8"/>
      <c r="D818" s="8"/>
      <c r="M818" s="8"/>
      <c r="N818" s="8"/>
    </row>
    <row r="819" ht="12.75">
      <c r="B819" s="8"/>
      <c r="C819" s="8"/>
      <c r="D819" s="8"/>
      <c r="M819" s="8"/>
      <c r="N819" s="8"/>
    </row>
    <row r="820" ht="12.75">
      <c r="B820" s="8"/>
      <c r="C820" s="8"/>
      <c r="D820" s="8"/>
      <c r="M820" s="8"/>
      <c r="N820" s="8"/>
    </row>
    <row r="821" ht="12.75">
      <c r="B821" s="8"/>
      <c r="C821" s="8"/>
      <c r="D821" s="8"/>
      <c r="M821" s="8"/>
      <c r="N821" s="8"/>
    </row>
    <row r="822" ht="12.75">
      <c r="B822" s="8"/>
      <c r="C822" s="8"/>
      <c r="D822" s="8"/>
      <c r="M822" s="8"/>
      <c r="N822" s="8"/>
    </row>
    <row r="823" ht="12.75">
      <c r="B823" s="8"/>
      <c r="C823" s="8"/>
      <c r="D823" s="8"/>
      <c r="M823" s="8"/>
      <c r="N823" s="8"/>
    </row>
    <row r="824" ht="12.75">
      <c r="B824" s="8"/>
      <c r="C824" s="8"/>
      <c r="D824" s="8"/>
      <c r="M824" s="8"/>
      <c r="N824" s="8"/>
    </row>
    <row r="825" ht="12.75">
      <c r="B825" s="8"/>
      <c r="C825" s="8"/>
      <c r="D825" s="8"/>
      <c r="M825" s="8"/>
      <c r="N825" s="8"/>
    </row>
    <row r="826" ht="12.75">
      <c r="B826" s="8"/>
      <c r="C826" s="8"/>
      <c r="D826" s="8"/>
      <c r="M826" s="8"/>
      <c r="N826" s="8"/>
    </row>
    <row r="827" ht="12.75">
      <c r="B827" s="8"/>
      <c r="C827" s="8"/>
      <c r="D827" s="8"/>
      <c r="M827" s="8"/>
      <c r="N827" s="8"/>
    </row>
    <row r="828" ht="12.75">
      <c r="B828" s="8"/>
      <c r="C828" s="8"/>
      <c r="D828" s="8"/>
      <c r="M828" s="8"/>
      <c r="N828" s="8"/>
    </row>
    <row r="829" ht="12.75">
      <c r="B829" s="8"/>
      <c r="C829" s="8"/>
      <c r="D829" s="8"/>
      <c r="M829" s="8"/>
      <c r="N829" s="8"/>
    </row>
    <row r="830" ht="12.75">
      <c r="B830" s="8"/>
      <c r="C830" s="8"/>
      <c r="D830" s="8"/>
      <c r="M830" s="8"/>
      <c r="N830" s="8"/>
    </row>
    <row r="831" ht="12.75">
      <c r="B831" s="8"/>
      <c r="C831" s="8"/>
      <c r="D831" s="8"/>
      <c r="M831" s="8"/>
      <c r="N831" s="8"/>
    </row>
    <row r="832" ht="12.75">
      <c r="B832" s="8"/>
      <c r="C832" s="8"/>
      <c r="D832" s="8"/>
      <c r="M832" s="8"/>
      <c r="N832" s="8"/>
    </row>
    <row r="833" ht="12.75">
      <c r="B833" s="8"/>
      <c r="C833" s="8"/>
      <c r="D833" s="8"/>
      <c r="M833" s="8"/>
      <c r="N833" s="8"/>
    </row>
    <row r="834" ht="12.75">
      <c r="B834" s="8"/>
      <c r="C834" s="8"/>
      <c r="D834" s="8"/>
      <c r="M834" s="8"/>
      <c r="N834" s="8"/>
    </row>
    <row r="835" ht="12.75">
      <c r="B835" s="8"/>
      <c r="C835" s="8"/>
      <c r="D835" s="8"/>
      <c r="M835" s="8"/>
      <c r="N835" s="8"/>
    </row>
    <row r="836" ht="12.75">
      <c r="B836" s="8"/>
      <c r="C836" s="8"/>
      <c r="D836" s="8"/>
      <c r="M836" s="8"/>
      <c r="N836" s="8"/>
    </row>
    <row r="837" ht="12.75">
      <c r="B837" s="8"/>
      <c r="C837" s="8"/>
      <c r="D837" s="8"/>
      <c r="M837" s="8"/>
      <c r="N837" s="8"/>
    </row>
    <row r="838" ht="12.75">
      <c r="B838" s="8"/>
      <c r="C838" s="8"/>
      <c r="D838" s="8"/>
      <c r="M838" s="8"/>
      <c r="N838" s="8"/>
    </row>
    <row r="839" ht="12.75">
      <c r="B839" s="8"/>
      <c r="C839" s="8"/>
      <c r="D839" s="8"/>
      <c r="M839" s="8"/>
      <c r="N839" s="8"/>
    </row>
    <row r="840" ht="12.75">
      <c r="B840" s="8"/>
      <c r="C840" s="8"/>
      <c r="D840" s="8"/>
      <c r="M840" s="8"/>
      <c r="N840" s="8"/>
    </row>
    <row r="841" ht="12.75">
      <c r="B841" s="8"/>
      <c r="C841" s="8"/>
      <c r="D841" s="8"/>
      <c r="M841" s="8"/>
      <c r="N841" s="8"/>
    </row>
    <row r="842" ht="12.75">
      <c r="B842" s="8"/>
      <c r="C842" s="8"/>
      <c r="D842" s="8"/>
      <c r="M842" s="8"/>
      <c r="N842" s="8"/>
    </row>
    <row r="843" ht="12.75">
      <c r="B843" s="8"/>
      <c r="C843" s="8"/>
      <c r="D843" s="8"/>
      <c r="M843" s="8"/>
      <c r="N843" s="8"/>
    </row>
    <row r="844" ht="12.75">
      <c r="B844" s="8"/>
      <c r="C844" s="8"/>
      <c r="D844" s="8"/>
      <c r="M844" s="8"/>
      <c r="N844" s="8"/>
    </row>
    <row r="845" ht="12.75">
      <c r="B845" s="8"/>
      <c r="C845" s="8"/>
      <c r="D845" s="8"/>
      <c r="M845" s="8"/>
      <c r="N845" s="8"/>
    </row>
    <row r="846" ht="12.75">
      <c r="B846" s="8"/>
      <c r="C846" s="8"/>
      <c r="D846" s="8"/>
      <c r="M846" s="8"/>
      <c r="N846" s="8"/>
    </row>
    <row r="847" ht="12.75">
      <c r="B847" s="8"/>
      <c r="C847" s="8"/>
      <c r="D847" s="8"/>
      <c r="M847" s="8"/>
      <c r="N847" s="8"/>
    </row>
    <row r="848" ht="12.75">
      <c r="B848" s="8"/>
      <c r="C848" s="8"/>
      <c r="D848" s="8"/>
      <c r="M848" s="8"/>
      <c r="N848" s="8"/>
    </row>
    <row r="849" ht="12.75">
      <c r="B849" s="8"/>
      <c r="C849" s="8"/>
      <c r="D849" s="8"/>
      <c r="M849" s="8"/>
      <c r="N849" s="8"/>
    </row>
    <row r="850" ht="12.75">
      <c r="B850" s="8"/>
      <c r="C850" s="8"/>
      <c r="D850" s="8"/>
      <c r="M850" s="8"/>
      <c r="N850" s="8"/>
    </row>
    <row r="851" ht="12.75">
      <c r="B851" s="8"/>
      <c r="C851" s="8"/>
      <c r="D851" s="8"/>
      <c r="M851" s="8"/>
      <c r="N851" s="8"/>
    </row>
    <row r="852" ht="12.75">
      <c r="B852" s="8"/>
      <c r="C852" s="8"/>
      <c r="D852" s="8"/>
      <c r="M852" s="8"/>
      <c r="N852" s="8"/>
    </row>
    <row r="853" ht="12.75">
      <c r="B853" s="8"/>
      <c r="C853" s="8"/>
      <c r="D853" s="8"/>
      <c r="M853" s="8"/>
      <c r="N853" s="8"/>
    </row>
    <row r="854" ht="12.75">
      <c r="B854" s="8"/>
      <c r="C854" s="8"/>
      <c r="D854" s="8"/>
      <c r="M854" s="8"/>
      <c r="N854" s="8"/>
    </row>
    <row r="855" ht="12.75">
      <c r="B855" s="8"/>
      <c r="C855" s="8"/>
      <c r="D855" s="8"/>
      <c r="M855" s="8"/>
      <c r="N855" s="8"/>
    </row>
    <row r="856" ht="12.75">
      <c r="B856" s="8"/>
      <c r="C856" s="8"/>
      <c r="D856" s="8"/>
      <c r="M856" s="8"/>
      <c r="N856" s="8"/>
    </row>
    <row r="857" ht="12.75">
      <c r="B857" s="8"/>
      <c r="C857" s="8"/>
      <c r="D857" s="8"/>
      <c r="M857" s="8"/>
      <c r="N857" s="8"/>
    </row>
    <row r="858" ht="12.75">
      <c r="B858" s="8"/>
      <c r="C858" s="8"/>
      <c r="D858" s="8"/>
      <c r="M858" s="8"/>
      <c r="N858" s="8"/>
    </row>
    <row r="859" ht="12.75">
      <c r="B859" s="8"/>
      <c r="C859" s="8"/>
      <c r="D859" s="8"/>
      <c r="M859" s="8"/>
      <c r="N859" s="8"/>
    </row>
    <row r="860" ht="12.75">
      <c r="B860" s="8"/>
      <c r="C860" s="8"/>
      <c r="D860" s="8"/>
      <c r="M860" s="8"/>
      <c r="N860" s="8"/>
    </row>
    <row r="861" ht="12.75">
      <c r="B861" s="8"/>
      <c r="C861" s="8"/>
      <c r="D861" s="8"/>
      <c r="M861" s="8"/>
      <c r="N861" s="8"/>
    </row>
    <row r="862" ht="12.75">
      <c r="B862" s="8"/>
      <c r="C862" s="8"/>
      <c r="D862" s="8"/>
      <c r="M862" s="8"/>
      <c r="N862" s="8"/>
    </row>
    <row r="863" ht="12.75">
      <c r="B863" s="8"/>
      <c r="C863" s="8"/>
      <c r="D863" s="8"/>
      <c r="M863" s="8"/>
      <c r="N863" s="8"/>
    </row>
    <row r="864" ht="12.75">
      <c r="B864" s="8"/>
      <c r="C864" s="8"/>
      <c r="D864" s="8"/>
      <c r="M864" s="8"/>
      <c r="N864" s="8"/>
    </row>
    <row r="865" ht="12.75">
      <c r="B865" s="8"/>
      <c r="C865" s="8"/>
      <c r="D865" s="8"/>
      <c r="M865" s="8"/>
      <c r="N865" s="8"/>
    </row>
    <row r="866" ht="12.75">
      <c r="B866" s="8"/>
      <c r="C866" s="8"/>
      <c r="D866" s="8"/>
      <c r="M866" s="8"/>
      <c r="N866" s="8"/>
    </row>
    <row r="867" ht="12.75">
      <c r="B867" s="8"/>
      <c r="C867" s="8"/>
      <c r="D867" s="8"/>
      <c r="M867" s="8"/>
      <c r="N867" s="8"/>
    </row>
    <row r="868" ht="12.75">
      <c r="B868" s="8"/>
      <c r="C868" s="8"/>
      <c r="D868" s="8"/>
      <c r="M868" s="8"/>
      <c r="N868" s="8"/>
    </row>
    <row r="869" ht="12.75">
      <c r="B869" s="8"/>
      <c r="C869" s="8"/>
      <c r="D869" s="8"/>
      <c r="M869" s="8"/>
      <c r="N869" s="8"/>
    </row>
    <row r="870" ht="12.75">
      <c r="B870" s="8"/>
      <c r="C870" s="8"/>
      <c r="D870" s="8"/>
      <c r="M870" s="8"/>
      <c r="N870" s="8"/>
    </row>
    <row r="871" ht="12.75">
      <c r="B871" s="8"/>
      <c r="C871" s="8"/>
      <c r="D871" s="8"/>
      <c r="M871" s="8"/>
      <c r="N871" s="8"/>
    </row>
    <row r="872" ht="12.75">
      <c r="B872" s="8"/>
      <c r="C872" s="8"/>
      <c r="D872" s="8"/>
      <c r="M872" s="8"/>
      <c r="N872" s="8"/>
    </row>
    <row r="873" ht="12.75">
      <c r="B873" s="8"/>
      <c r="C873" s="8"/>
      <c r="D873" s="8"/>
      <c r="M873" s="8"/>
      <c r="N873" s="8"/>
    </row>
    <row r="874" ht="12.75">
      <c r="B874" s="8"/>
      <c r="C874" s="8"/>
      <c r="D874" s="8"/>
      <c r="M874" s="8"/>
      <c r="N874" s="8"/>
    </row>
    <row r="875" ht="12.75">
      <c r="B875" s="8"/>
      <c r="C875" s="8"/>
      <c r="D875" s="8"/>
      <c r="M875" s="8"/>
      <c r="N875" s="8"/>
    </row>
    <row r="876" ht="12.75">
      <c r="B876" s="8"/>
      <c r="C876" s="8"/>
      <c r="D876" s="8"/>
      <c r="M876" s="8"/>
      <c r="N876" s="8"/>
    </row>
    <row r="877" ht="12.75">
      <c r="B877" s="8"/>
      <c r="C877" s="8"/>
      <c r="D877" s="8"/>
      <c r="M877" s="8"/>
      <c r="N877" s="8"/>
    </row>
    <row r="878" ht="12.75">
      <c r="B878" s="8"/>
      <c r="C878" s="8"/>
      <c r="D878" s="8"/>
      <c r="M878" s="8"/>
      <c r="N878" s="8"/>
    </row>
    <row r="879" ht="12.75">
      <c r="B879" s="8"/>
      <c r="C879" s="8"/>
      <c r="D879" s="8"/>
      <c r="M879" s="8"/>
      <c r="N879" s="8"/>
    </row>
    <row r="880" ht="12.75">
      <c r="B880" s="8"/>
      <c r="C880" s="8"/>
      <c r="D880" s="8"/>
      <c r="M880" s="8"/>
      <c r="N880" s="8"/>
    </row>
    <row r="881" ht="12.75">
      <c r="B881" s="8"/>
      <c r="C881" s="8"/>
      <c r="D881" s="8"/>
      <c r="M881" s="8"/>
      <c r="N881" s="8"/>
    </row>
    <row r="882" ht="12.75">
      <c r="B882" s="8"/>
      <c r="C882" s="8"/>
      <c r="D882" s="8"/>
      <c r="M882" s="8"/>
      <c r="N882" s="8"/>
    </row>
    <row r="883" ht="12.75">
      <c r="B883" s="8"/>
      <c r="C883" s="8"/>
      <c r="D883" s="8"/>
      <c r="M883" s="8"/>
      <c r="N883" s="8"/>
    </row>
    <row r="884" ht="12.75">
      <c r="B884" s="8"/>
      <c r="C884" s="8"/>
      <c r="D884" s="8"/>
      <c r="M884" s="8"/>
      <c r="N884" s="8"/>
    </row>
    <row r="885" ht="12.75">
      <c r="B885" s="8"/>
      <c r="C885" s="8"/>
      <c r="D885" s="8"/>
      <c r="M885" s="8"/>
      <c r="N885" s="8"/>
    </row>
    <row r="886" ht="12.75">
      <c r="B886" s="8"/>
      <c r="C886" s="8"/>
      <c r="D886" s="8"/>
      <c r="M886" s="8"/>
      <c r="N886" s="8"/>
    </row>
    <row r="887" ht="12.75">
      <c r="B887" s="8"/>
      <c r="C887" s="8"/>
      <c r="D887" s="8"/>
      <c r="M887" s="8"/>
      <c r="N887" s="8"/>
    </row>
    <row r="888" ht="12.75">
      <c r="B888" s="8"/>
      <c r="C888" s="8"/>
      <c r="D888" s="8"/>
      <c r="M888" s="8"/>
      <c r="N888" s="8"/>
    </row>
    <row r="889" ht="12.75">
      <c r="B889" s="8"/>
      <c r="C889" s="8"/>
      <c r="D889" s="8"/>
      <c r="M889" s="8"/>
      <c r="N889" s="8"/>
    </row>
    <row r="890" ht="12.75">
      <c r="B890" s="8"/>
      <c r="C890" s="8"/>
      <c r="D890" s="8"/>
      <c r="M890" s="8"/>
      <c r="N890" s="8"/>
    </row>
    <row r="891" ht="12.75">
      <c r="B891" s="8"/>
      <c r="C891" s="8"/>
      <c r="D891" s="8"/>
      <c r="M891" s="8"/>
      <c r="N891" s="8"/>
    </row>
    <row r="892" ht="12.75">
      <c r="B892" s="8"/>
      <c r="C892" s="8"/>
      <c r="D892" s="8"/>
      <c r="M892" s="8"/>
      <c r="N892" s="8"/>
    </row>
    <row r="893" ht="12.75">
      <c r="B893" s="8"/>
      <c r="C893" s="8"/>
      <c r="D893" s="8"/>
      <c r="M893" s="8"/>
      <c r="N893" s="8"/>
    </row>
    <row r="894" ht="12.75">
      <c r="B894" s="8"/>
      <c r="C894" s="8"/>
      <c r="D894" s="8"/>
      <c r="M894" s="8"/>
      <c r="N894" s="8"/>
    </row>
    <row r="895" ht="12.75">
      <c r="B895" s="8"/>
      <c r="C895" s="8"/>
      <c r="D895" s="8"/>
      <c r="M895" s="8"/>
      <c r="N895" s="8"/>
    </row>
    <row r="896" ht="12.75">
      <c r="B896" s="8"/>
      <c r="C896" s="8"/>
      <c r="D896" s="8"/>
      <c r="M896" s="8"/>
      <c r="N896" s="8"/>
    </row>
    <row r="897" ht="12.75">
      <c r="B897" s="8"/>
      <c r="C897" s="8"/>
      <c r="D897" s="8"/>
      <c r="M897" s="8"/>
      <c r="N897" s="8"/>
    </row>
    <row r="898" ht="12.75">
      <c r="B898" s="8"/>
      <c r="C898" s="8"/>
      <c r="D898" s="8"/>
      <c r="M898" s="8"/>
      <c r="N898" s="8"/>
    </row>
    <row r="899" ht="12.75">
      <c r="B899" s="8"/>
      <c r="C899" s="8"/>
      <c r="D899" s="8"/>
      <c r="M899" s="8"/>
      <c r="N899" s="8"/>
    </row>
    <row r="900" ht="12.75">
      <c r="B900" s="8"/>
      <c r="C900" s="8"/>
      <c r="D900" s="8"/>
      <c r="M900" s="8"/>
      <c r="N900" s="8"/>
    </row>
    <row r="901" ht="12.75">
      <c r="B901" s="8"/>
      <c r="C901" s="8"/>
      <c r="D901" s="8"/>
      <c r="M901" s="8"/>
      <c r="N901" s="8"/>
    </row>
    <row r="902" ht="12.75">
      <c r="B902" s="8"/>
      <c r="C902" s="8"/>
      <c r="D902" s="8"/>
      <c r="M902" s="8"/>
      <c r="N902" s="8"/>
    </row>
    <row r="903" ht="12.75">
      <c r="B903" s="8"/>
      <c r="C903" s="8"/>
      <c r="D903" s="8"/>
      <c r="M903" s="8"/>
      <c r="N903" s="8"/>
    </row>
    <row r="904" ht="12.75">
      <c r="B904" s="8"/>
      <c r="C904" s="8"/>
      <c r="D904" s="8"/>
      <c r="M904" s="8"/>
      <c r="N904" s="8"/>
    </row>
    <row r="905" ht="12.75">
      <c r="B905" s="8"/>
      <c r="C905" s="8"/>
      <c r="D905" s="8"/>
      <c r="M905" s="8"/>
      <c r="N905" s="8"/>
    </row>
    <row r="906" ht="12.75">
      <c r="B906" s="8"/>
      <c r="C906" s="8"/>
      <c r="D906" s="8"/>
      <c r="M906" s="8"/>
      <c r="N906" s="8"/>
    </row>
    <row r="907" ht="12.75">
      <c r="B907" s="8"/>
      <c r="C907" s="8"/>
      <c r="D907" s="8"/>
      <c r="M907" s="8"/>
      <c r="N907" s="8"/>
    </row>
    <row r="908" ht="12.75">
      <c r="B908" s="8"/>
      <c r="C908" s="8"/>
      <c r="D908" s="8"/>
      <c r="M908" s="8"/>
      <c r="N908" s="8"/>
    </row>
    <row r="909" ht="12.75">
      <c r="B909" s="8"/>
      <c r="C909" s="8"/>
      <c r="D909" s="8"/>
      <c r="M909" s="8"/>
      <c r="N909" s="8"/>
    </row>
    <row r="910" ht="12.75">
      <c r="B910" s="8"/>
      <c r="C910" s="8"/>
      <c r="D910" s="8"/>
      <c r="M910" s="8"/>
      <c r="N910" s="8"/>
    </row>
    <row r="911" ht="12.75">
      <c r="B911" s="8"/>
      <c r="C911" s="8"/>
      <c r="D911" s="8"/>
      <c r="M911" s="8"/>
      <c r="N911" s="8"/>
    </row>
    <row r="912" ht="12.75">
      <c r="B912" s="8"/>
      <c r="C912" s="8"/>
      <c r="D912" s="8"/>
      <c r="M912" s="8"/>
      <c r="N912" s="8"/>
    </row>
    <row r="913" ht="12.75">
      <c r="B913" s="8"/>
      <c r="C913" s="8"/>
      <c r="D913" s="8"/>
      <c r="M913" s="8"/>
      <c r="N913" s="8"/>
    </row>
    <row r="914" ht="12.75">
      <c r="B914" s="8"/>
      <c r="C914" s="8"/>
      <c r="D914" s="8"/>
      <c r="M914" s="8"/>
      <c r="N914" s="8"/>
    </row>
    <row r="915" ht="12.75">
      <c r="B915" s="8"/>
      <c r="C915" s="8"/>
      <c r="D915" s="8"/>
      <c r="M915" s="8"/>
      <c r="N915" s="8"/>
    </row>
    <row r="916" ht="12.75">
      <c r="B916" s="8"/>
      <c r="C916" s="8"/>
      <c r="D916" s="8"/>
      <c r="M916" s="8"/>
      <c r="N916" s="8"/>
    </row>
    <row r="917" ht="12.75">
      <c r="B917" s="8"/>
      <c r="C917" s="8"/>
      <c r="D917" s="8"/>
      <c r="M917" s="8"/>
      <c r="N917" s="8"/>
    </row>
    <row r="918" ht="12.75">
      <c r="B918" s="8"/>
      <c r="C918" s="8"/>
      <c r="D918" s="8"/>
      <c r="M918" s="8"/>
      <c r="N918" s="8"/>
    </row>
    <row r="919" ht="12.75">
      <c r="B919" s="8"/>
      <c r="C919" s="8"/>
      <c r="D919" s="8"/>
      <c r="M919" s="8"/>
      <c r="N919" s="8"/>
    </row>
    <row r="920" ht="12.75">
      <c r="B920" s="8"/>
      <c r="C920" s="8"/>
      <c r="D920" s="8"/>
      <c r="M920" s="8"/>
      <c r="N920" s="8"/>
    </row>
    <row r="921" ht="12.75">
      <c r="B921" s="8"/>
      <c r="C921" s="8"/>
      <c r="D921" s="8"/>
      <c r="M921" s="8"/>
      <c r="N921" s="8"/>
    </row>
    <row r="922" ht="12.75">
      <c r="B922" s="8"/>
      <c r="C922" s="8"/>
      <c r="D922" s="8"/>
      <c r="M922" s="8"/>
      <c r="N922" s="8"/>
    </row>
    <row r="923" ht="12.75">
      <c r="B923" s="8"/>
      <c r="C923" s="8"/>
      <c r="D923" s="8"/>
      <c r="M923" s="8"/>
      <c r="N923" s="8"/>
    </row>
    <row r="924" ht="12.75">
      <c r="B924" s="8"/>
      <c r="C924" s="8"/>
      <c r="D924" s="8"/>
      <c r="M924" s="8"/>
      <c r="N924" s="8"/>
    </row>
    <row r="925" ht="12.75">
      <c r="B925" s="8"/>
      <c r="C925" s="8"/>
      <c r="D925" s="8"/>
      <c r="M925" s="8"/>
      <c r="N925" s="8"/>
    </row>
    <row r="926" ht="12.75">
      <c r="B926" s="8"/>
      <c r="C926" s="8"/>
      <c r="D926" s="8"/>
      <c r="M926" s="8"/>
      <c r="N926" s="8"/>
    </row>
    <row r="927" ht="12.75">
      <c r="B927" s="8"/>
      <c r="C927" s="8"/>
      <c r="D927" s="8"/>
      <c r="M927" s="8"/>
      <c r="N927" s="8"/>
    </row>
    <row r="928" ht="12.75">
      <c r="B928" s="8"/>
      <c r="C928" s="8"/>
      <c r="D928" s="8"/>
      <c r="M928" s="8"/>
      <c r="N928" s="8"/>
    </row>
    <row r="929" ht="12.75">
      <c r="B929" s="8"/>
      <c r="C929" s="8"/>
      <c r="D929" s="8"/>
      <c r="M929" s="8"/>
      <c r="N929" s="8"/>
    </row>
    <row r="930" ht="12.75">
      <c r="B930" s="8"/>
      <c r="C930" s="8"/>
      <c r="D930" s="8"/>
      <c r="M930" s="8"/>
      <c r="N930" s="8"/>
    </row>
    <row r="931" ht="12.75">
      <c r="B931" s="8"/>
      <c r="C931" s="8"/>
      <c r="D931" s="8"/>
      <c r="M931" s="8"/>
      <c r="N931" s="8"/>
    </row>
    <row r="932" ht="12.75">
      <c r="B932" s="8"/>
      <c r="C932" s="8"/>
      <c r="D932" s="8"/>
      <c r="M932" s="8"/>
      <c r="N932" s="8"/>
    </row>
    <row r="933" ht="12.75">
      <c r="B933" s="8"/>
      <c r="C933" s="8"/>
      <c r="D933" s="8"/>
      <c r="M933" s="8"/>
      <c r="N933" s="8"/>
    </row>
    <row r="934" ht="12.75">
      <c r="B934" s="8"/>
      <c r="C934" s="8"/>
      <c r="D934" s="8"/>
      <c r="M934" s="8"/>
      <c r="N934" s="8"/>
    </row>
    <row r="935" ht="12.75">
      <c r="B935" s="8"/>
      <c r="C935" s="8"/>
      <c r="D935" s="8"/>
      <c r="M935" s="8"/>
      <c r="N935" s="8"/>
    </row>
    <row r="936" ht="12.75">
      <c r="B936" s="8"/>
      <c r="C936" s="8"/>
      <c r="D936" s="8"/>
      <c r="M936" s="8"/>
      <c r="N936" s="8"/>
    </row>
    <row r="937" ht="12.75">
      <c r="B937" s="8"/>
      <c r="C937" s="8"/>
      <c r="D937" s="8"/>
      <c r="M937" s="8"/>
      <c r="N937" s="8"/>
    </row>
    <row r="938" ht="12.75">
      <c r="B938" s="8"/>
      <c r="C938" s="8"/>
      <c r="D938" s="8"/>
      <c r="M938" s="8"/>
      <c r="N938" s="8"/>
    </row>
    <row r="939" ht="12.75">
      <c r="B939" s="8"/>
      <c r="C939" s="8"/>
      <c r="D939" s="8"/>
      <c r="M939" s="8"/>
      <c r="N939" s="8"/>
    </row>
    <row r="940" ht="12.75">
      <c r="B940" s="8"/>
      <c r="C940" s="8"/>
      <c r="D940" s="8"/>
      <c r="M940" s="8"/>
      <c r="N940" s="8"/>
    </row>
    <row r="941" ht="12.75">
      <c r="B941" s="8"/>
      <c r="C941" s="8"/>
      <c r="D941" s="8"/>
      <c r="M941" s="8"/>
      <c r="N941" s="8"/>
    </row>
    <row r="942" ht="12.75">
      <c r="B942" s="8"/>
      <c r="C942" s="8"/>
      <c r="D942" s="8"/>
      <c r="M942" s="8"/>
      <c r="N942" s="8"/>
    </row>
    <row r="943" ht="12.75">
      <c r="B943" s="8"/>
      <c r="C943" s="8"/>
      <c r="D943" s="8"/>
      <c r="M943" s="8"/>
      <c r="N943" s="8"/>
    </row>
    <row r="944" ht="12.75">
      <c r="B944" s="8"/>
      <c r="C944" s="8"/>
      <c r="D944" s="8"/>
      <c r="M944" s="8"/>
      <c r="N944" s="8"/>
    </row>
    <row r="945" ht="12.75">
      <c r="B945" s="8"/>
      <c r="C945" s="8"/>
      <c r="D945" s="8"/>
      <c r="M945" s="8"/>
      <c r="N945" s="8"/>
    </row>
    <row r="946" ht="12.75">
      <c r="B946" s="8"/>
      <c r="C946" s="8"/>
      <c r="D946" s="8"/>
      <c r="M946" s="8"/>
      <c r="N946" s="8"/>
    </row>
    <row r="947" ht="12.75">
      <c r="B947" s="8"/>
      <c r="C947" s="8"/>
      <c r="D947" s="8"/>
      <c r="M947" s="8"/>
      <c r="N947" s="8"/>
    </row>
    <row r="948" ht="12.75">
      <c r="B948" s="8"/>
      <c r="C948" s="8"/>
      <c r="D948" s="8"/>
      <c r="M948" s="8"/>
      <c r="N948" s="8"/>
    </row>
    <row r="949" ht="12.75">
      <c r="B949" s="8"/>
      <c r="C949" s="8"/>
      <c r="D949" s="8"/>
      <c r="M949" s="8"/>
      <c r="N949" s="8"/>
    </row>
    <row r="950" ht="12.75">
      <c r="B950" s="8"/>
      <c r="C950" s="8"/>
      <c r="D950" s="8"/>
      <c r="M950" s="8"/>
      <c r="N950" s="8"/>
    </row>
    <row r="951" ht="12.75">
      <c r="B951" s="8"/>
      <c r="C951" s="8"/>
      <c r="D951" s="8"/>
      <c r="M951" s="8"/>
      <c r="N951" s="8"/>
    </row>
    <row r="952" ht="12.75">
      <c r="B952" s="8"/>
      <c r="C952" s="8"/>
      <c r="D952" s="8"/>
      <c r="M952" s="8"/>
      <c r="N952" s="8"/>
    </row>
    <row r="953" ht="12.75">
      <c r="B953" s="8"/>
      <c r="C953" s="8"/>
      <c r="D953" s="8"/>
      <c r="M953" s="8"/>
      <c r="N953" s="8"/>
    </row>
    <row r="954" ht="12.75">
      <c r="B954" s="8"/>
      <c r="C954" s="8"/>
      <c r="D954" s="8"/>
      <c r="M954" s="8"/>
      <c r="N954" s="8"/>
    </row>
    <row r="955" ht="12.75">
      <c r="B955" s="8"/>
      <c r="C955" s="8"/>
      <c r="D955" s="8"/>
      <c r="M955" s="8"/>
      <c r="N955" s="8"/>
    </row>
    <row r="956" ht="12.75">
      <c r="B956" s="8"/>
      <c r="C956" s="8"/>
      <c r="D956" s="8"/>
      <c r="M956" s="8"/>
      <c r="N956" s="8"/>
    </row>
    <row r="957" ht="12.75">
      <c r="B957" s="8"/>
      <c r="C957" s="8"/>
      <c r="D957" s="8"/>
      <c r="M957" s="8"/>
      <c r="N957" s="8"/>
    </row>
    <row r="958" ht="12.75">
      <c r="B958" s="8"/>
      <c r="C958" s="8"/>
      <c r="D958" s="8"/>
      <c r="M958" s="8"/>
      <c r="N958" s="8"/>
    </row>
    <row r="959" ht="12.75">
      <c r="B959" s="8"/>
      <c r="C959" s="8"/>
      <c r="D959" s="8"/>
      <c r="M959" s="8"/>
      <c r="N959" s="8"/>
    </row>
    <row r="960" ht="12.75">
      <c r="B960" s="8"/>
      <c r="C960" s="8"/>
      <c r="D960" s="8"/>
      <c r="M960" s="8"/>
      <c r="N960" s="8"/>
    </row>
    <row r="961" ht="12.75">
      <c r="B961" s="8"/>
      <c r="C961" s="8"/>
      <c r="D961" s="8"/>
      <c r="M961" s="8"/>
      <c r="N961" s="8"/>
    </row>
    <row r="962" ht="12.75">
      <c r="B962" s="8"/>
      <c r="C962" s="8"/>
      <c r="D962" s="8"/>
      <c r="M962" s="8"/>
      <c r="N962" s="8"/>
    </row>
    <row r="963" ht="12.75">
      <c r="B963" s="8"/>
      <c r="C963" s="8"/>
      <c r="D963" s="8"/>
      <c r="M963" s="8"/>
      <c r="N963" s="8"/>
    </row>
    <row r="964" ht="12.75">
      <c r="B964" s="8"/>
      <c r="C964" s="8"/>
      <c r="D964" s="8"/>
      <c r="M964" s="8"/>
      <c r="N964" s="8"/>
    </row>
    <row r="965" ht="12.75">
      <c r="B965" s="8"/>
      <c r="C965" s="8"/>
      <c r="D965" s="8"/>
      <c r="M965" s="8"/>
      <c r="N965" s="8"/>
    </row>
    <row r="966" ht="12.75">
      <c r="B966" s="8"/>
      <c r="C966" s="8"/>
      <c r="D966" s="8"/>
      <c r="M966" s="8"/>
      <c r="N966" s="8"/>
    </row>
    <row r="967" ht="12.75">
      <c r="B967" s="8"/>
      <c r="C967" s="8"/>
      <c r="D967" s="8"/>
      <c r="M967" s="8"/>
      <c r="N967" s="8"/>
    </row>
    <row r="968" ht="12.75">
      <c r="B968" s="8"/>
      <c r="C968" s="8"/>
      <c r="D968" s="8"/>
      <c r="M968" s="8"/>
      <c r="N968" s="8"/>
    </row>
    <row r="969" ht="12.75">
      <c r="B969" s="8"/>
      <c r="C969" s="8"/>
      <c r="D969" s="8"/>
      <c r="M969" s="8"/>
      <c r="N969" s="8"/>
    </row>
    <row r="970" ht="12.75">
      <c r="B970" s="8"/>
      <c r="C970" s="8"/>
      <c r="D970" s="8"/>
      <c r="M970" s="8"/>
      <c r="N970" s="8"/>
    </row>
    <row r="971" ht="12.75">
      <c r="B971" s="8"/>
      <c r="C971" s="8"/>
      <c r="D971" s="8"/>
      <c r="M971" s="8"/>
      <c r="N971" s="8"/>
    </row>
    <row r="972" ht="12.75">
      <c r="B972" s="8"/>
      <c r="C972" s="8"/>
      <c r="D972" s="8"/>
      <c r="M972" s="8"/>
      <c r="N972" s="8"/>
    </row>
    <row r="973" ht="12.75">
      <c r="B973" s="8"/>
      <c r="C973" s="8"/>
      <c r="D973" s="8"/>
      <c r="M973" s="8"/>
      <c r="N973" s="8"/>
    </row>
    <row r="974" ht="12.75">
      <c r="B974" s="8"/>
      <c r="C974" s="8"/>
      <c r="D974" s="8"/>
      <c r="M974" s="8"/>
      <c r="N974" s="8"/>
    </row>
    <row r="975" ht="12.75">
      <c r="B975" s="8"/>
      <c r="C975" s="8"/>
      <c r="D975" s="8"/>
      <c r="M975" s="8"/>
      <c r="N975" s="8"/>
    </row>
    <row r="976" ht="12.75">
      <c r="B976" s="8"/>
      <c r="C976" s="8"/>
      <c r="D976" s="8"/>
      <c r="M976" s="8"/>
      <c r="N976" s="8"/>
    </row>
    <row r="977" ht="12.75">
      <c r="B977" s="8"/>
      <c r="C977" s="8"/>
      <c r="D977" s="8"/>
      <c r="M977" s="8"/>
      <c r="N977" s="8"/>
    </row>
    <row r="978" ht="12.75">
      <c r="B978" s="8"/>
      <c r="C978" s="8"/>
      <c r="D978" s="8"/>
      <c r="M978" s="8"/>
      <c r="N978" s="8"/>
    </row>
    <row r="979" ht="12.75">
      <c r="B979" s="8"/>
      <c r="C979" s="8"/>
      <c r="D979" s="8"/>
      <c r="M979" s="8"/>
      <c r="N979" s="8"/>
    </row>
    <row r="980" ht="12.75">
      <c r="B980" s="8"/>
      <c r="C980" s="8"/>
      <c r="D980" s="8"/>
      <c r="M980" s="8"/>
      <c r="N980" s="8"/>
    </row>
    <row r="981" ht="12.75">
      <c r="B981" s="8"/>
      <c r="C981" s="8"/>
      <c r="D981" s="8"/>
      <c r="M981" s="8"/>
      <c r="N981" s="8"/>
    </row>
    <row r="982" ht="12.75">
      <c r="B982" s="8"/>
      <c r="C982" s="8"/>
      <c r="D982" s="8"/>
      <c r="M982" s="8"/>
      <c r="N982" s="8"/>
    </row>
    <row r="983" ht="12.75">
      <c r="B983" s="8"/>
      <c r="C983" s="8"/>
      <c r="D983" s="8"/>
      <c r="M983" s="8"/>
      <c r="N983" s="8"/>
    </row>
    <row r="984" ht="12.75">
      <c r="B984" s="8"/>
      <c r="C984" s="8"/>
      <c r="D984" s="8"/>
      <c r="M984" s="8"/>
      <c r="N984" s="8"/>
    </row>
    <row r="985" ht="12.75">
      <c r="B985" s="8"/>
      <c r="C985" s="8"/>
      <c r="D985" s="8"/>
      <c r="M985" s="8"/>
      <c r="N985" s="8"/>
    </row>
    <row r="986" ht="12.75">
      <c r="B986" s="8"/>
      <c r="C986" s="8"/>
      <c r="D986" s="8"/>
      <c r="M986" s="8"/>
      <c r="N986" s="8"/>
    </row>
    <row r="987" ht="12.75">
      <c r="B987" s="8"/>
      <c r="C987" s="8"/>
      <c r="D987" s="8"/>
      <c r="M987" s="8"/>
      <c r="N987" s="8"/>
    </row>
    <row r="988" ht="12.75">
      <c r="B988" s="8"/>
      <c r="C988" s="8"/>
      <c r="D988" s="8"/>
      <c r="M988" s="8"/>
      <c r="N988" s="8"/>
    </row>
    <row r="989" ht="12.75">
      <c r="B989" s="8"/>
      <c r="C989" s="8"/>
      <c r="D989" s="8"/>
      <c r="M989" s="8"/>
      <c r="N989" s="8"/>
    </row>
    <row r="990" ht="12.75">
      <c r="B990" s="8"/>
      <c r="C990" s="8"/>
      <c r="D990" s="8"/>
      <c r="M990" s="8"/>
      <c r="N990" s="8"/>
    </row>
    <row r="991" ht="12.75">
      <c r="B991" s="8"/>
      <c r="C991" s="8"/>
      <c r="D991" s="8"/>
      <c r="M991" s="8"/>
      <c r="N991" s="8"/>
    </row>
    <row r="992" ht="12.75">
      <c r="B992" s="8"/>
      <c r="C992" s="8"/>
      <c r="D992" s="8"/>
      <c r="M992" s="8"/>
      <c r="N992" s="8"/>
    </row>
    <row r="993" ht="12.75">
      <c r="B993" s="8"/>
      <c r="C993" s="8"/>
      <c r="D993" s="8"/>
      <c r="M993" s="8"/>
      <c r="N993" s="8"/>
    </row>
    <row r="994" ht="12.75">
      <c r="B994" s="8"/>
      <c r="C994" s="8"/>
      <c r="D994" s="8"/>
      <c r="M994" s="8"/>
      <c r="N994" s="8"/>
    </row>
    <row r="995" ht="12.75">
      <c r="B995" s="8"/>
      <c r="C995" s="8"/>
      <c r="D995" s="8"/>
      <c r="M995" s="8"/>
      <c r="N995" s="8"/>
    </row>
    <row r="996" ht="12.75">
      <c r="B996" s="8"/>
      <c r="C996" s="8"/>
      <c r="D996" s="8"/>
      <c r="M996" s="8"/>
      <c r="N996" s="8"/>
    </row>
    <row r="997" ht="12.75">
      <c r="B997" s="8"/>
      <c r="C997" s="8"/>
      <c r="D997" s="8"/>
      <c r="M997" s="8"/>
      <c r="N997" s="8"/>
    </row>
    <row r="998" ht="12.75">
      <c r="B998" s="8"/>
      <c r="C998" s="8"/>
      <c r="D998" s="8"/>
      <c r="M998" s="8"/>
      <c r="N998" s="8"/>
    </row>
    <row r="999" ht="12.75">
      <c r="B999" s="8"/>
      <c r="C999" s="8"/>
      <c r="D999" s="8"/>
      <c r="M999" s="8"/>
      <c r="N999" s="8"/>
    </row>
    <row r="1000" ht="12.75">
      <c r="B1000" s="8"/>
      <c r="C1000" s="8"/>
      <c r="D1000" s="8"/>
      <c r="M1000" s="8"/>
      <c r="N1000" s="8"/>
    </row>
    <row r="1001" ht="12.75">
      <c r="B1001" s="8"/>
      <c r="C1001" s="8"/>
      <c r="D1001" s="8"/>
      <c r="M1001" s="8"/>
      <c r="N1001" s="8"/>
    </row>
    <row r="1002" ht="12.75">
      <c r="B1002" s="8"/>
      <c r="C1002" s="8"/>
      <c r="D1002" s="8"/>
      <c r="M1002" s="8"/>
      <c r="N1002" s="8"/>
    </row>
    <row r="1003" ht="12.75">
      <c r="B1003" s="8"/>
      <c r="C1003" s="8"/>
      <c r="D1003" s="8"/>
      <c r="M1003" s="8"/>
      <c r="N1003" s="8"/>
    </row>
    <row r="1004" ht="12.75">
      <c r="B1004" s="8"/>
      <c r="C1004" s="8"/>
      <c r="D1004" s="8"/>
      <c r="M1004" s="8"/>
      <c r="N1004" s="8"/>
    </row>
    <row r="1005" ht="12.75">
      <c r="B1005" s="8"/>
      <c r="C1005" s="8"/>
      <c r="D1005" s="8"/>
      <c r="M1005" s="8"/>
      <c r="N1005" s="8"/>
    </row>
    <row r="1006" ht="12.75">
      <c r="B1006" s="8"/>
      <c r="C1006" s="8"/>
      <c r="D1006" s="8"/>
      <c r="M1006" s="8"/>
      <c r="N1006" s="8"/>
    </row>
    <row r="1007" ht="12.75">
      <c r="B1007" s="8"/>
      <c r="C1007" s="8"/>
      <c r="D1007" s="8"/>
      <c r="M1007" s="8"/>
      <c r="N1007" s="8"/>
    </row>
    <row r="1008" ht="12.75">
      <c r="B1008" s="8"/>
      <c r="C1008" s="8"/>
      <c r="D1008" s="8"/>
      <c r="M1008" s="8"/>
      <c r="N1008" s="8"/>
    </row>
    <row r="1009" ht="12.75">
      <c r="B1009" s="8"/>
      <c r="C1009" s="8"/>
      <c r="D1009" s="8"/>
      <c r="M1009" s="8"/>
      <c r="N1009" s="8"/>
    </row>
    <row r="1010" ht="12.75">
      <c r="B1010" s="8"/>
      <c r="C1010" s="8"/>
      <c r="D1010" s="8"/>
      <c r="M1010" s="8"/>
      <c r="N1010" s="8"/>
    </row>
    <row r="1011" ht="12.75">
      <c r="B1011" s="8"/>
      <c r="C1011" s="8"/>
      <c r="D1011" s="8"/>
      <c r="M1011" s="8"/>
      <c r="N1011" s="8"/>
    </row>
    <row r="1012" ht="12.75">
      <c r="B1012" s="8"/>
      <c r="C1012" s="8"/>
      <c r="D1012" s="8"/>
      <c r="M1012" s="8"/>
      <c r="N1012" s="8"/>
    </row>
    <row r="1013" ht="12.75">
      <c r="B1013" s="8"/>
      <c r="C1013" s="8"/>
      <c r="D1013" s="8"/>
      <c r="M1013" s="8"/>
      <c r="N1013" s="8"/>
    </row>
    <row r="1014" ht="12.75">
      <c r="B1014" s="8"/>
      <c r="C1014" s="8"/>
      <c r="D1014" s="8"/>
      <c r="M1014" s="8"/>
      <c r="N1014" s="8"/>
    </row>
    <row r="1015" ht="12.75">
      <c r="B1015" s="8"/>
      <c r="C1015" s="8"/>
      <c r="D1015" s="8"/>
      <c r="M1015" s="8"/>
      <c r="N1015" s="8"/>
    </row>
    <row r="1016" ht="12.75">
      <c r="B1016" s="8"/>
      <c r="C1016" s="8"/>
      <c r="D1016" s="8"/>
      <c r="M1016" s="8"/>
      <c r="N1016" s="8"/>
    </row>
    <row r="1017" ht="12.75">
      <c r="B1017" s="8"/>
      <c r="C1017" s="8"/>
      <c r="D1017" s="8"/>
      <c r="M1017" s="8"/>
      <c r="N1017" s="8"/>
    </row>
    <row r="1018" ht="12.75">
      <c r="B1018" s="8"/>
      <c r="C1018" s="8"/>
      <c r="D1018" s="8"/>
      <c r="M1018" s="8"/>
      <c r="N1018" s="8"/>
    </row>
    <row r="1019" ht="12.75">
      <c r="B1019" s="8"/>
      <c r="C1019" s="8"/>
      <c r="D1019" s="8"/>
      <c r="M1019" s="8"/>
      <c r="N1019" s="8"/>
    </row>
    <row r="1020" ht="12.75">
      <c r="B1020" s="8"/>
      <c r="C1020" s="8"/>
      <c r="D1020" s="8"/>
      <c r="M1020" s="8"/>
      <c r="N1020" s="8"/>
    </row>
    <row r="1021" ht="12.75">
      <c r="B1021" s="8"/>
      <c r="C1021" s="8"/>
      <c r="D1021" s="8"/>
      <c r="M1021" s="8"/>
      <c r="N1021" s="8"/>
    </row>
    <row r="1022" ht="12.75">
      <c r="B1022" s="8"/>
      <c r="C1022" s="8"/>
      <c r="D1022" s="8"/>
      <c r="M1022" s="8"/>
      <c r="N1022" s="8"/>
    </row>
    <row r="1023" ht="12.75">
      <c r="B1023" s="8"/>
      <c r="C1023" s="8"/>
      <c r="D1023" s="8"/>
      <c r="M1023" s="8"/>
      <c r="N1023" s="8"/>
    </row>
    <row r="1024" ht="12.75">
      <c r="B1024" s="8"/>
      <c r="C1024" s="8"/>
      <c r="D1024" s="8"/>
      <c r="M1024" s="8"/>
      <c r="N1024" s="8"/>
    </row>
    <row r="1025" ht="12.75">
      <c r="B1025" s="8"/>
      <c r="C1025" s="8"/>
      <c r="D1025" s="8"/>
      <c r="M1025" s="8"/>
      <c r="N1025" s="8"/>
    </row>
    <row r="1026" ht="12.75">
      <c r="B1026" s="8"/>
      <c r="C1026" s="8"/>
      <c r="D1026" s="8"/>
      <c r="M1026" s="8"/>
      <c r="N1026" s="8"/>
    </row>
    <row r="1027" ht="12.75">
      <c r="B1027" s="8"/>
      <c r="C1027" s="8"/>
      <c r="D1027" s="8"/>
      <c r="M1027" s="8"/>
      <c r="N1027" s="8"/>
    </row>
    <row r="1028" ht="12.75">
      <c r="B1028" s="8"/>
      <c r="C1028" s="8"/>
      <c r="D1028" s="8"/>
      <c r="M1028" s="8"/>
      <c r="N1028" s="8"/>
    </row>
    <row r="1029" ht="12.75">
      <c r="B1029" s="8"/>
      <c r="C1029" s="8"/>
      <c r="D1029" s="8"/>
      <c r="M1029" s="8"/>
      <c r="N1029" s="8"/>
    </row>
    <row r="1030" ht="12.75">
      <c r="B1030" s="8"/>
      <c r="C1030" s="8"/>
      <c r="D1030" s="8"/>
      <c r="M1030" s="8"/>
      <c r="N1030" s="8"/>
    </row>
    <row r="1031" ht="12.75">
      <c r="B1031" s="8"/>
      <c r="C1031" s="8"/>
      <c r="D1031" s="8"/>
      <c r="M1031" s="8"/>
      <c r="N1031" s="8"/>
    </row>
    <row r="1032" ht="12.75">
      <c r="B1032" s="8"/>
      <c r="C1032" s="8"/>
      <c r="D1032" s="8"/>
      <c r="M1032" s="8"/>
      <c r="N1032" s="8"/>
    </row>
  </sheetData>
  <hyperlinks>
    <hyperlink r:id="rId1" ref="B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pane xSplit="2" ySplit="9" topLeftCell="C10" activePane="bottomRight" state="frozen"/>
      <selection activeCell="F94" activeCellId="0" sqref="F94"/>
    </sheetView>
  </sheetViews>
  <sheetFormatPr baseColWidth="10" defaultColWidth="12.5703125" defaultRowHeight="15.75" customHeight="1"/>
  <cols>
    <col customWidth="1" min="1" max="1" width="15.28515625"/>
    <col customWidth="1" min="2" max="2" width="38.140625"/>
    <col customWidth="1" min="3" max="3" width="31.42578125"/>
    <col customWidth="1" min="4" max="4" width="24.28515625"/>
    <col customWidth="1" min="5" max="5" width="24.5703125"/>
    <col customWidth="1" min="6" max="6" width="46.5703125"/>
    <col customWidth="1" min="7" max="7" width="27.5703125"/>
    <col customWidth="1" min="8" max="8" width="13.7109375"/>
    <col customWidth="1" min="9" max="9" width="14.28515625"/>
    <col customWidth="1" min="10" max="10" width="17.140625"/>
    <col customWidth="1" min="11" max="11" width="35.28515625"/>
    <col customWidth="1" min="12" max="12" width="12"/>
    <col customWidth="1" min="13" max="13" width="16.85546875"/>
    <col customWidth="1" min="14" max="14" width="29.85546875"/>
    <col customWidth="1" min="15" max="15" width="30"/>
    <col customWidth="1" min="16" max="17" width="32.5703125"/>
    <col customWidth="1" min="18" max="18" width="19.140625"/>
    <col customWidth="1" min="19" max="19" width="28.85546875"/>
    <col bestFit="1" min="20" max="20" width="26"/>
  </cols>
  <sheetData>
    <row r="1" ht="12.75">
      <c r="A1" s="1" t="str">
        <f>Classes!A1</f>
        <v xml:space="preserve">URI de l'ontologie</v>
      </c>
      <c r="B1" s="5" t="str">
        <f>Classes!B1</f>
        <v>http://data.esante.gouv.fr/ansm/medicament</v>
      </c>
      <c r="C1" s="47"/>
      <c r="D1" s="47"/>
      <c r="E1" s="8"/>
      <c r="F1" s="8"/>
      <c r="G1" s="8"/>
      <c r="H1" s="48"/>
      <c r="I1" s="49"/>
      <c r="P1" s="8"/>
      <c r="Q1" s="8"/>
    </row>
    <row r="2" ht="12.75" hidden="1">
      <c r="E2" s="8"/>
      <c r="F2" s="8"/>
      <c r="G2" s="8"/>
      <c r="H2" s="48"/>
      <c r="I2" s="49"/>
      <c r="M2" s="45"/>
      <c r="N2" s="45"/>
      <c r="O2" s="45"/>
      <c r="P2" s="8"/>
      <c r="Q2" s="8"/>
    </row>
    <row r="3" ht="12.75" hidden="1">
      <c r="E3" s="8"/>
      <c r="F3" s="8"/>
      <c r="G3" s="8"/>
      <c r="H3" s="48"/>
      <c r="I3" s="49"/>
      <c r="M3" s="45"/>
      <c r="N3" s="45"/>
      <c r="O3" s="45"/>
      <c r="P3" s="8"/>
      <c r="Q3" s="8"/>
    </row>
    <row r="4" ht="12.75" hidden="1">
      <c r="E4" s="8"/>
      <c r="F4" s="8"/>
      <c r="G4" s="8"/>
      <c r="H4" s="48"/>
      <c r="I4" s="49"/>
      <c r="M4" s="45"/>
      <c r="N4" s="45"/>
      <c r="O4" s="45"/>
      <c r="P4" s="8"/>
      <c r="Q4" s="8"/>
    </row>
    <row r="5" ht="12.75" hidden="1">
      <c r="E5" s="8"/>
      <c r="F5" s="8"/>
      <c r="G5" s="8"/>
      <c r="H5" s="48"/>
      <c r="I5" s="49"/>
      <c r="M5" s="45"/>
      <c r="N5" s="45"/>
      <c r="O5" s="45"/>
      <c r="P5" s="8"/>
      <c r="Q5" s="8"/>
    </row>
    <row r="6" ht="12.75" hidden="1">
      <c r="E6" s="8"/>
      <c r="F6" s="8"/>
      <c r="G6" s="8"/>
      <c r="H6" s="48"/>
      <c r="I6" s="49"/>
      <c r="M6" s="45"/>
      <c r="N6" s="45"/>
      <c r="O6" s="45"/>
      <c r="P6" s="8"/>
      <c r="Q6" s="8"/>
    </row>
    <row r="7" ht="38.25">
      <c r="A7" s="50"/>
      <c r="B7" s="50" t="s">
        <v>225</v>
      </c>
      <c r="C7" s="50" t="s">
        <v>226</v>
      </c>
      <c r="D7" s="50"/>
      <c r="E7" s="50" t="s">
        <v>227</v>
      </c>
      <c r="F7" s="50" t="s">
        <v>228</v>
      </c>
      <c r="G7" s="50"/>
      <c r="H7" s="51" t="s">
        <v>229</v>
      </c>
      <c r="I7" s="52" t="s">
        <v>230</v>
      </c>
      <c r="J7" s="50" t="s">
        <v>231</v>
      </c>
      <c r="K7" s="50" t="s">
        <v>232</v>
      </c>
      <c r="L7" s="50"/>
      <c r="M7" s="53" t="s">
        <v>233</v>
      </c>
      <c r="N7" s="53" t="s">
        <v>234</v>
      </c>
      <c r="O7" s="53" t="s">
        <v>235</v>
      </c>
      <c r="P7" s="50" t="s">
        <v>236</v>
      </c>
      <c r="Q7" s="50" t="s">
        <v>237</v>
      </c>
      <c r="R7" s="50" t="s">
        <v>238</v>
      </c>
      <c r="S7" s="50"/>
      <c r="T7" s="50"/>
      <c r="U7" s="50"/>
      <c r="V7" s="50"/>
      <c r="W7" s="50"/>
      <c r="X7" s="50"/>
      <c r="Y7" s="50"/>
      <c r="Z7" s="50"/>
      <c r="AA7" s="50"/>
      <c r="AB7" s="50"/>
      <c r="AC7" s="50"/>
      <c r="AD7" s="50"/>
      <c r="AE7" s="50"/>
      <c r="AF7" s="50"/>
    </row>
    <row r="8" ht="38.25">
      <c r="A8" s="12"/>
      <c r="B8" s="12" t="s">
        <v>239</v>
      </c>
      <c r="C8" s="12"/>
      <c r="D8" s="12" t="s">
        <v>240</v>
      </c>
      <c r="E8" s="13" t="s">
        <v>241</v>
      </c>
      <c r="F8" s="13" t="s">
        <v>228</v>
      </c>
      <c r="G8" s="13"/>
      <c r="H8" s="54" t="s">
        <v>229</v>
      </c>
      <c r="I8" s="13" t="s">
        <v>242</v>
      </c>
      <c r="J8" s="12"/>
      <c r="K8" s="12" t="s">
        <v>243</v>
      </c>
      <c r="L8" s="13" t="s">
        <v>244</v>
      </c>
      <c r="M8" s="12"/>
      <c r="N8" s="12"/>
      <c r="O8" s="12"/>
      <c r="P8" s="13"/>
      <c r="Q8" s="13"/>
      <c r="R8" s="12"/>
      <c r="S8" s="12"/>
      <c r="T8" s="12"/>
      <c r="U8" s="12"/>
      <c r="V8" s="12"/>
      <c r="W8" s="12"/>
      <c r="X8" s="12"/>
      <c r="Y8" s="12"/>
      <c r="Z8" s="12"/>
      <c r="AA8" s="12"/>
      <c r="AB8" s="12"/>
      <c r="AC8" s="12"/>
      <c r="AD8" s="12"/>
      <c r="AE8" s="12"/>
      <c r="AF8" s="12"/>
    </row>
    <row r="9" ht="25.5">
      <c r="A9" s="12" t="s">
        <v>34</v>
      </c>
      <c r="B9" s="12" t="s">
        <v>245</v>
      </c>
      <c r="C9" s="12" t="s">
        <v>246</v>
      </c>
      <c r="D9" s="12" t="s">
        <v>240</v>
      </c>
      <c r="E9" s="13" t="s">
        <v>247</v>
      </c>
      <c r="F9" s="13" t="s">
        <v>248</v>
      </c>
      <c r="G9" s="13" t="s">
        <v>249</v>
      </c>
      <c r="H9" s="54" t="s">
        <v>250</v>
      </c>
      <c r="I9" s="13" t="s">
        <v>251</v>
      </c>
      <c r="J9" s="12" t="s">
        <v>46</v>
      </c>
      <c r="K9" s="12" t="s">
        <v>252</v>
      </c>
      <c r="L9" s="12" t="s">
        <v>253</v>
      </c>
      <c r="M9" s="12" t="s">
        <v>254</v>
      </c>
      <c r="N9" s="12" t="s">
        <v>255</v>
      </c>
      <c r="O9" s="12" t="s">
        <v>43</v>
      </c>
      <c r="P9" s="13" t="s">
        <v>256</v>
      </c>
      <c r="Q9" s="13" t="s">
        <v>257</v>
      </c>
      <c r="R9" s="12" t="s">
        <v>258</v>
      </c>
      <c r="S9" s="12" t="s">
        <v>259</v>
      </c>
      <c r="T9" s="12" t="s">
        <v>49</v>
      </c>
      <c r="U9" s="12"/>
      <c r="V9" s="12"/>
      <c r="W9" s="12"/>
      <c r="X9" s="12"/>
      <c r="Y9" s="12"/>
      <c r="Z9" s="12"/>
      <c r="AA9" s="12"/>
      <c r="AB9" s="12"/>
      <c r="AC9" s="12"/>
      <c r="AD9" s="12"/>
      <c r="AE9" s="12"/>
      <c r="AF9" s="12"/>
    </row>
    <row r="10" ht="16.5">
      <c r="A10" s="31"/>
      <c r="B10" s="31" t="s">
        <v>260</v>
      </c>
      <c r="C10" s="31"/>
      <c r="D10" s="31"/>
      <c r="E10" s="31"/>
      <c r="F10" s="31"/>
      <c r="G10" s="31"/>
      <c r="H10" s="55"/>
      <c r="I10" s="56"/>
      <c r="J10" s="31"/>
      <c r="K10" s="31"/>
      <c r="L10" s="31"/>
      <c r="M10" s="31"/>
      <c r="N10" s="31"/>
      <c r="O10" s="31"/>
      <c r="P10" s="31"/>
      <c r="Q10" s="31"/>
      <c r="R10" s="31"/>
      <c r="S10" s="31"/>
      <c r="T10" s="31"/>
      <c r="U10" s="31"/>
      <c r="V10" s="31"/>
      <c r="W10" s="31"/>
      <c r="X10" s="31"/>
      <c r="Y10" s="31"/>
      <c r="Z10" s="31"/>
      <c r="AA10" s="31"/>
      <c r="AB10" s="31"/>
      <c r="AC10" s="31"/>
      <c r="AD10" s="31"/>
      <c r="AE10" s="31"/>
      <c r="AF10" s="31"/>
    </row>
    <row r="11" ht="12.75">
      <c r="A11" s="2" t="str">
        <f>CONCATENATE(Préfixes!$B$3,":P",ROW(A11))</f>
        <v>med:P11</v>
      </c>
      <c r="B11" s="2" t="s">
        <v>261</v>
      </c>
      <c r="C11" s="2" t="s">
        <v>167</v>
      </c>
      <c r="D11" s="2"/>
      <c r="E11" s="8" t="s">
        <v>262</v>
      </c>
      <c r="F11" s="8" t="s">
        <v>263</v>
      </c>
      <c r="G11" s="8"/>
      <c r="H11" s="48">
        <v>1</v>
      </c>
      <c r="I11" s="49">
        <v>1</v>
      </c>
      <c r="J11" s="2"/>
      <c r="K11" s="2" t="s">
        <v>264</v>
      </c>
      <c r="L11" s="2"/>
      <c r="M11" s="57" t="str">
        <f t="shared" ref="M11:M74" si="1">IF(K11&lt;&gt;"",IF(OR(LEFT(K11,3)="rdf",LEFT(K11,3)="xsd",LEFT(K11,3)="cdt"),K11,""),"")</f>
        <v>xsd:string</v>
      </c>
      <c r="N11" s="45"/>
      <c r="O11" s="45"/>
      <c r="P11" s="8"/>
      <c r="Q11" s="8"/>
      <c r="R11" s="2"/>
      <c r="T11" t="str">
        <f t="shared" ref="T11:T74" si="2">IF(D11=TRUE,"#EAF1DD","")</f>
        <v/>
      </c>
    </row>
    <row r="12" ht="38.25">
      <c r="A12" s="2" t="str">
        <f>CONCATENATE(Préfixes!$B$3,":P",ROW(A12))</f>
        <v>med:P12</v>
      </c>
      <c r="B12" s="2" t="s">
        <v>265</v>
      </c>
      <c r="C12" s="2" t="s">
        <v>167</v>
      </c>
      <c r="D12" s="2"/>
      <c r="E12" s="8" t="s">
        <v>266</v>
      </c>
      <c r="F12" s="8" t="s">
        <v>267</v>
      </c>
      <c r="G12" s="8"/>
      <c r="H12" s="48">
        <v>1</v>
      </c>
      <c r="I12" s="49">
        <v>1</v>
      </c>
      <c r="J12" s="2" t="s">
        <v>268</v>
      </c>
      <c r="K12" s="2" t="s">
        <v>269</v>
      </c>
      <c r="L12" s="2"/>
      <c r="M12" s="45" t="str">
        <f t="shared" si="1"/>
        <v>rdf:langString</v>
      </c>
      <c r="N12" s="45" t="str">
        <f t="shared" ref="N12:N75" si="3">IF(K12&lt;&gt;"",IF(AND(M12="",LEFT(K12,13)&lt;&gt;"med:BlankNode"),K12,""),"")</f>
        <v/>
      </c>
      <c r="O12" s="45" t="str">
        <f t="shared" ref="O12:O75" si="4">IF(K12&lt;&gt;"",IF(AND(M12="",LEFT(K12,13)="med:BlankNode"),K12,""),"")</f>
        <v/>
      </c>
      <c r="P12" s="8" t="s">
        <v>270</v>
      </c>
      <c r="Q12" s="8"/>
      <c r="R12" s="2" t="s">
        <v>271</v>
      </c>
      <c r="T12" t="str">
        <f t="shared" si="2"/>
        <v/>
      </c>
    </row>
    <row r="13" ht="102">
      <c r="A13" s="2" t="str">
        <f>CONCATENATE(Préfixes!$B$3,":P",ROW(A13))</f>
        <v>med:P13</v>
      </c>
      <c r="B13" s="2" t="s">
        <v>272</v>
      </c>
      <c r="C13" s="2" t="s">
        <v>167</v>
      </c>
      <c r="D13" s="2"/>
      <c r="E13" s="8" t="s">
        <v>273</v>
      </c>
      <c r="F13" s="8" t="s">
        <v>274</v>
      </c>
      <c r="G13" s="8"/>
      <c r="H13" s="48">
        <v>1</v>
      </c>
      <c r="I13" s="49"/>
      <c r="J13" s="2" t="s">
        <v>58</v>
      </c>
      <c r="K13" s="2" t="s">
        <v>116</v>
      </c>
      <c r="L13" s="2"/>
      <c r="M13" s="45" t="str">
        <f t="shared" si="1"/>
        <v/>
      </c>
      <c r="N13" s="45" t="str">
        <f t="shared" si="3"/>
        <v>med:Substance</v>
      </c>
      <c r="O13" s="45" t="str">
        <f t="shared" si="4"/>
        <v/>
      </c>
      <c r="P13" s="8"/>
      <c r="Q13" s="8"/>
      <c r="T13" t="str">
        <f t="shared" si="2"/>
        <v/>
      </c>
    </row>
    <row r="14" ht="16.5">
      <c r="A14" s="31"/>
      <c r="B14" s="31" t="s">
        <v>275</v>
      </c>
      <c r="C14" s="31"/>
      <c r="D14" s="31"/>
      <c r="E14" s="31"/>
      <c r="F14" s="31"/>
      <c r="G14" s="31"/>
      <c r="H14" s="55"/>
      <c r="I14" s="56"/>
      <c r="J14" s="31"/>
      <c r="K14" s="31"/>
      <c r="L14" s="31"/>
      <c r="M14" s="31"/>
      <c r="N14" s="31"/>
      <c r="O14" s="31"/>
      <c r="P14" s="31"/>
      <c r="Q14" s="31"/>
      <c r="R14" s="31"/>
      <c r="S14" s="31"/>
      <c r="T14" s="31"/>
      <c r="U14" s="31"/>
      <c r="V14" s="31"/>
      <c r="W14" s="31"/>
      <c r="X14" s="31"/>
      <c r="Y14" s="31"/>
      <c r="Z14" s="31"/>
      <c r="AA14" s="31"/>
      <c r="AB14" s="31"/>
      <c r="AC14" s="31"/>
      <c r="AD14" s="31"/>
      <c r="AE14" s="31"/>
      <c r="AF14" s="31"/>
    </row>
    <row r="15" ht="12.75">
      <c r="A15" s="2" t="str">
        <f>CONCATENATE(Préfixes!$B$3,":P",ROW(A15))</f>
        <v>med:P15</v>
      </c>
      <c r="B15" s="2" t="s">
        <v>261</v>
      </c>
      <c r="C15" s="2" t="s">
        <v>174</v>
      </c>
      <c r="D15" s="2"/>
      <c r="E15" s="8" t="s">
        <v>262</v>
      </c>
      <c r="F15" s="8" t="s">
        <v>276</v>
      </c>
      <c r="G15" s="8"/>
      <c r="H15" s="48">
        <v>1</v>
      </c>
      <c r="I15" s="49">
        <v>1</v>
      </c>
      <c r="J15" s="2"/>
      <c r="K15" s="2" t="s">
        <v>264</v>
      </c>
      <c r="L15" s="2"/>
      <c r="M15" s="57" t="str">
        <f t="shared" si="1"/>
        <v>xsd:string</v>
      </c>
      <c r="N15" s="45"/>
      <c r="O15" s="45"/>
      <c r="P15" s="8"/>
      <c r="Q15" s="8"/>
      <c r="R15" s="2"/>
      <c r="T15" t="str">
        <f t="shared" si="2"/>
        <v/>
      </c>
    </row>
    <row r="16" ht="51">
      <c r="A16" s="2" t="str">
        <f>CONCATENATE(Préfixes!$B$3,":P",ROW(A16))</f>
        <v>med:P16</v>
      </c>
      <c r="B16" s="2" t="s">
        <v>265</v>
      </c>
      <c r="C16" s="2" t="s">
        <v>174</v>
      </c>
      <c r="D16" s="2"/>
      <c r="E16" s="8" t="s">
        <v>266</v>
      </c>
      <c r="F16" s="8" t="s">
        <v>277</v>
      </c>
      <c r="G16" s="8"/>
      <c r="H16" s="48">
        <v>1</v>
      </c>
      <c r="I16" s="49">
        <v>1</v>
      </c>
      <c r="J16" s="2" t="s">
        <v>268</v>
      </c>
      <c r="K16" s="2" t="s">
        <v>269</v>
      </c>
      <c r="L16" s="2"/>
      <c r="M16" s="45" t="str">
        <f t="shared" si="1"/>
        <v>rdf:langString</v>
      </c>
      <c r="N16" s="45" t="str">
        <f t="shared" si="3"/>
        <v/>
      </c>
      <c r="O16" s="45" t="str">
        <f t="shared" si="4"/>
        <v/>
      </c>
      <c r="P16" s="8" t="s">
        <v>270</v>
      </c>
      <c r="Q16" s="8"/>
      <c r="R16" s="2" t="s">
        <v>271</v>
      </c>
      <c r="T16" t="str">
        <f t="shared" si="2"/>
        <v/>
      </c>
    </row>
    <row r="17" ht="89.25">
      <c r="A17" s="2" t="str">
        <f>CONCATENATE(Préfixes!$B$3,":P",ROW(A17))</f>
        <v>med:P17</v>
      </c>
      <c r="B17" s="2" t="s">
        <v>272</v>
      </c>
      <c r="C17" s="2" t="s">
        <v>174</v>
      </c>
      <c r="D17" s="2"/>
      <c r="E17" s="8" t="s">
        <v>273</v>
      </c>
      <c r="F17" s="8" t="s">
        <v>278</v>
      </c>
      <c r="G17" s="8"/>
      <c r="H17" s="48">
        <v>1</v>
      </c>
      <c r="I17" s="49"/>
      <c r="J17" s="2" t="s">
        <v>58</v>
      </c>
      <c r="K17" s="2" t="s">
        <v>116</v>
      </c>
      <c r="L17" s="2"/>
      <c r="M17" s="45" t="str">
        <f t="shared" si="1"/>
        <v/>
      </c>
      <c r="N17" s="45" t="str">
        <f t="shared" si="3"/>
        <v>med:Substance</v>
      </c>
      <c r="O17" s="45" t="str">
        <f t="shared" si="4"/>
        <v/>
      </c>
      <c r="P17" s="8"/>
      <c r="Q17" s="8"/>
      <c r="T17" t="str">
        <f t="shared" si="2"/>
        <v/>
      </c>
    </row>
    <row r="18" ht="63.75">
      <c r="A18" s="2" t="str">
        <f>CONCATENATE(Préfixes!$B$3,":P",ROW(A18))</f>
        <v>med:P18</v>
      </c>
      <c r="B18" s="2" t="s">
        <v>279</v>
      </c>
      <c r="C18" s="2" t="s">
        <v>174</v>
      </c>
      <c r="D18" s="2"/>
      <c r="E18" s="8" t="s">
        <v>280</v>
      </c>
      <c r="F18" s="8" t="s">
        <v>281</v>
      </c>
      <c r="G18" s="8"/>
      <c r="H18" s="48"/>
      <c r="I18" s="49"/>
      <c r="J18" s="2" t="s">
        <v>58</v>
      </c>
      <c r="K18" s="2" t="s">
        <v>96</v>
      </c>
      <c r="L18" s="2"/>
      <c r="M18" s="45" t="str">
        <f t="shared" si="1"/>
        <v/>
      </c>
      <c r="N18" s="45" t="str">
        <f t="shared" si="3"/>
        <v>med:DosagePresentation</v>
      </c>
      <c r="O18" s="45" t="str">
        <f t="shared" si="4"/>
        <v/>
      </c>
      <c r="P18" s="8"/>
      <c r="Q18" s="8"/>
      <c r="T18" t="str">
        <f t="shared" si="2"/>
        <v/>
      </c>
    </row>
    <row r="19" ht="63.75">
      <c r="A19" s="2" t="str">
        <f>CONCATENATE(Préfixes!$B$3,":P",ROW(A19))</f>
        <v>med:P19</v>
      </c>
      <c r="B19" s="2" t="s">
        <v>282</v>
      </c>
      <c r="C19" s="2" t="s">
        <v>174</v>
      </c>
      <c r="D19" s="2"/>
      <c r="E19" s="8" t="s">
        <v>283</v>
      </c>
      <c r="F19" s="8" t="s">
        <v>284</v>
      </c>
      <c r="G19" s="8"/>
      <c r="H19" s="48"/>
      <c r="I19" s="49"/>
      <c r="J19" s="2" t="s">
        <v>58</v>
      </c>
      <c r="K19" s="2" t="s">
        <v>91</v>
      </c>
      <c r="L19" s="2"/>
      <c r="M19" s="45" t="str">
        <f t="shared" si="1"/>
        <v/>
      </c>
      <c r="N19" s="45" t="str">
        <f t="shared" si="3"/>
        <v>med:DosageConcentration</v>
      </c>
      <c r="O19" s="45" t="str">
        <f t="shared" si="4"/>
        <v/>
      </c>
      <c r="P19" s="8"/>
      <c r="Q19" s="8"/>
      <c r="T19" t="str">
        <f t="shared" si="2"/>
        <v/>
      </c>
    </row>
    <row r="20" ht="38.25">
      <c r="A20" s="2" t="str">
        <f>CONCATENATE(Préfixes!$B$3,":P",ROW(A20))</f>
        <v>med:P20</v>
      </c>
      <c r="B20" s="2" t="s">
        <v>285</v>
      </c>
      <c r="C20" s="2" t="s">
        <v>174</v>
      </c>
      <c r="D20" s="2"/>
      <c r="E20" s="8" t="s">
        <v>286</v>
      </c>
      <c r="F20" s="8" t="s">
        <v>287</v>
      </c>
      <c r="G20" s="8"/>
      <c r="H20" s="48">
        <v>1</v>
      </c>
      <c r="I20" s="49">
        <v>1</v>
      </c>
      <c r="J20" s="2" t="s">
        <v>58</v>
      </c>
      <c r="K20" s="2" t="s">
        <v>167</v>
      </c>
      <c r="L20" s="2"/>
      <c r="M20" s="45" t="str">
        <f t="shared" si="1"/>
        <v/>
      </c>
      <c r="N20" s="45" t="str">
        <f t="shared" si="3"/>
        <v>med:PPhParSubstance</v>
      </c>
      <c r="O20" s="45" t="str">
        <f t="shared" si="4"/>
        <v/>
      </c>
      <c r="P20" s="8"/>
      <c r="Q20" s="8"/>
      <c r="T20" t="str">
        <f t="shared" si="2"/>
        <v/>
      </c>
    </row>
    <row r="21" ht="16.5">
      <c r="A21" s="31"/>
      <c r="B21" s="31" t="s">
        <v>288</v>
      </c>
      <c r="C21" s="31"/>
      <c r="D21" s="31"/>
      <c r="E21" s="31"/>
      <c r="F21" s="31"/>
      <c r="G21" s="31"/>
      <c r="H21" s="55"/>
      <c r="I21" s="56"/>
      <c r="J21" s="31"/>
      <c r="K21" s="31"/>
      <c r="L21" s="31"/>
      <c r="M21" s="31"/>
      <c r="N21" s="31"/>
      <c r="O21" s="31"/>
      <c r="P21" s="31"/>
      <c r="Q21" s="31"/>
      <c r="R21" s="31"/>
      <c r="S21" s="31"/>
      <c r="T21" s="31"/>
      <c r="U21" s="31"/>
      <c r="V21" s="31"/>
      <c r="W21" s="31"/>
      <c r="X21" s="31"/>
      <c r="Y21" s="31"/>
      <c r="Z21" s="31"/>
      <c r="AA21" s="31"/>
      <c r="AB21" s="31"/>
      <c r="AC21" s="31"/>
      <c r="AD21" s="31"/>
      <c r="AE21" s="31"/>
      <c r="AF21" s="31"/>
    </row>
    <row r="22" ht="12.75">
      <c r="A22" s="2" t="str">
        <f>CONCATENATE(Préfixes!$B$3,":P",ROW(A22))</f>
        <v>med:P22</v>
      </c>
      <c r="B22" s="2" t="s">
        <v>261</v>
      </c>
      <c r="C22" s="2" t="s">
        <v>178</v>
      </c>
      <c r="D22" s="2"/>
      <c r="E22" s="8" t="s">
        <v>262</v>
      </c>
      <c r="F22" s="8" t="s">
        <v>289</v>
      </c>
      <c r="G22" s="8"/>
      <c r="H22" s="48">
        <v>1</v>
      </c>
      <c r="I22" s="49">
        <v>1</v>
      </c>
      <c r="J22" s="2"/>
      <c r="K22" s="2" t="s">
        <v>264</v>
      </c>
      <c r="L22" s="2"/>
      <c r="M22" s="57" t="str">
        <f t="shared" si="1"/>
        <v>xsd:string</v>
      </c>
      <c r="N22" s="45"/>
      <c r="O22" s="45"/>
      <c r="P22" s="8"/>
      <c r="Q22" s="8"/>
      <c r="R22" s="2"/>
      <c r="T22" t="str">
        <f t="shared" si="2"/>
        <v/>
      </c>
    </row>
    <row r="23" ht="63.75">
      <c r="A23" s="2" t="str">
        <f>CONCATENATE(Préfixes!$B$3,":P",ROW(A23))</f>
        <v>med:P23</v>
      </c>
      <c r="B23" s="2" t="s">
        <v>265</v>
      </c>
      <c r="C23" s="2" t="s">
        <v>178</v>
      </c>
      <c r="D23" s="2"/>
      <c r="E23" s="8" t="s">
        <v>266</v>
      </c>
      <c r="F23" s="8" t="s">
        <v>290</v>
      </c>
      <c r="G23" s="8"/>
      <c r="H23" s="48">
        <v>1</v>
      </c>
      <c r="I23" s="49">
        <v>1</v>
      </c>
      <c r="J23" s="2" t="s">
        <v>268</v>
      </c>
      <c r="K23" s="2" t="s">
        <v>269</v>
      </c>
      <c r="L23" s="2"/>
      <c r="M23" s="45" t="str">
        <f t="shared" si="1"/>
        <v>rdf:langString</v>
      </c>
      <c r="N23" s="45" t="str">
        <f t="shared" si="3"/>
        <v/>
      </c>
      <c r="O23" s="45" t="str">
        <f t="shared" si="4"/>
        <v/>
      </c>
      <c r="P23" s="8" t="s">
        <v>270</v>
      </c>
      <c r="Q23" s="8"/>
      <c r="R23" s="2" t="s">
        <v>271</v>
      </c>
      <c r="T23" t="str">
        <f t="shared" si="2"/>
        <v/>
      </c>
    </row>
    <row r="24" ht="89.25">
      <c r="A24" s="2" t="str">
        <f>CONCATENATE(Préfixes!$B$3,":P",ROW(A24))</f>
        <v>med:P24</v>
      </c>
      <c r="B24" s="2" t="s">
        <v>272</v>
      </c>
      <c r="C24" s="2" t="s">
        <v>178</v>
      </c>
      <c r="D24" s="2"/>
      <c r="E24" s="8" t="s">
        <v>273</v>
      </c>
      <c r="F24" s="8" t="s">
        <v>278</v>
      </c>
      <c r="G24" s="8"/>
      <c r="H24" s="48">
        <v>1</v>
      </c>
      <c r="I24" s="49"/>
      <c r="J24" s="2" t="s">
        <v>58</v>
      </c>
      <c r="K24" s="2" t="s">
        <v>116</v>
      </c>
      <c r="L24" s="2"/>
      <c r="M24" s="45" t="str">
        <f t="shared" si="1"/>
        <v/>
      </c>
      <c r="N24" s="45" t="str">
        <f t="shared" si="3"/>
        <v>med:Substance</v>
      </c>
      <c r="O24" s="45" t="str">
        <f t="shared" si="4"/>
        <v/>
      </c>
      <c r="P24" s="8"/>
      <c r="Q24" s="8"/>
      <c r="T24" t="str">
        <f t="shared" si="2"/>
        <v/>
      </c>
    </row>
    <row r="25" ht="51">
      <c r="A25" s="2" t="str">
        <f>CONCATENATE(Préfixes!$B$3,":P",ROW(A25))</f>
        <v>med:P25</v>
      </c>
      <c r="B25" s="2" t="s">
        <v>291</v>
      </c>
      <c r="C25" s="2" t="s">
        <v>178</v>
      </c>
      <c r="D25" s="2"/>
      <c r="E25" s="8" t="s">
        <v>292</v>
      </c>
      <c r="F25" s="8" t="s">
        <v>293</v>
      </c>
      <c r="G25" s="8"/>
      <c r="H25" s="48">
        <v>1</v>
      </c>
      <c r="I25" s="49">
        <v>1</v>
      </c>
      <c r="J25" s="2" t="s">
        <v>58</v>
      </c>
      <c r="K25" s="2" t="s">
        <v>123</v>
      </c>
      <c r="L25" s="2"/>
      <c r="M25" s="45" t="str">
        <f t="shared" si="1"/>
        <v/>
      </c>
      <c r="N25" s="45" t="str">
        <f t="shared" si="3"/>
        <v>med:Forme</v>
      </c>
      <c r="O25" s="45" t="str">
        <f t="shared" si="4"/>
        <v/>
      </c>
      <c r="P25" s="8"/>
      <c r="Q25" s="8"/>
      <c r="T25" t="str">
        <f t="shared" si="2"/>
        <v/>
      </c>
    </row>
    <row r="26" ht="38.25">
      <c r="A26" s="2" t="str">
        <f>CONCATENATE(Préfixes!$B$3,":P",ROW(A26))</f>
        <v>med:P26</v>
      </c>
      <c r="B26" s="2" t="s">
        <v>285</v>
      </c>
      <c r="C26" s="2" t="s">
        <v>178</v>
      </c>
      <c r="D26" s="2"/>
      <c r="E26" s="8" t="s">
        <v>286</v>
      </c>
      <c r="F26" s="8" t="s">
        <v>294</v>
      </c>
      <c r="G26" s="8"/>
      <c r="H26" s="48">
        <v>1</v>
      </c>
      <c r="I26" s="49">
        <v>1</v>
      </c>
      <c r="J26" s="2" t="s">
        <v>58</v>
      </c>
      <c r="K26" s="2" t="s">
        <v>167</v>
      </c>
      <c r="L26" s="2"/>
      <c r="M26" s="45" t="str">
        <f t="shared" si="1"/>
        <v/>
      </c>
      <c r="N26" s="45" t="str">
        <f t="shared" si="3"/>
        <v>med:PPhParSubstance</v>
      </c>
      <c r="O26" s="45" t="str">
        <f t="shared" si="4"/>
        <v/>
      </c>
      <c r="P26" s="8"/>
      <c r="Q26" s="8"/>
      <c r="T26" t="str">
        <f t="shared" si="2"/>
        <v/>
      </c>
    </row>
    <row r="27" ht="16.5">
      <c r="A27" s="31"/>
      <c r="B27" s="31" t="s">
        <v>295</v>
      </c>
      <c r="C27" s="31"/>
      <c r="D27" s="31"/>
      <c r="E27" s="31"/>
      <c r="F27" s="31"/>
      <c r="G27" s="31"/>
      <c r="H27" s="55"/>
      <c r="I27" s="56"/>
      <c r="J27" s="31"/>
      <c r="K27" s="31"/>
      <c r="L27" s="31"/>
      <c r="M27" s="31"/>
      <c r="N27" s="31"/>
      <c r="O27" s="31"/>
      <c r="P27" s="31"/>
      <c r="Q27" s="31"/>
      <c r="R27" s="31"/>
      <c r="S27" s="31"/>
      <c r="T27" s="31"/>
      <c r="U27" s="31"/>
      <c r="V27" s="31"/>
      <c r="W27" s="31"/>
      <c r="X27" s="31"/>
      <c r="Y27" s="31"/>
      <c r="Z27" s="31"/>
      <c r="AA27" s="31"/>
      <c r="AB27" s="31"/>
      <c r="AC27" s="31"/>
      <c r="AD27" s="31"/>
      <c r="AE27" s="31"/>
      <c r="AF27" s="31"/>
    </row>
    <row r="28" ht="12.75">
      <c r="A28" s="2" t="str">
        <f>CONCATENATE(Préfixes!$B$3,":P",ROW(A28))</f>
        <v>med:P28</v>
      </c>
      <c r="B28" s="2" t="s">
        <v>261</v>
      </c>
      <c r="C28" s="2" t="s">
        <v>182</v>
      </c>
      <c r="D28" s="2"/>
      <c r="E28" s="8" t="s">
        <v>262</v>
      </c>
      <c r="F28" s="8" t="s">
        <v>296</v>
      </c>
      <c r="G28" s="8"/>
      <c r="H28" s="48">
        <v>1</v>
      </c>
      <c r="I28" s="49">
        <v>1</v>
      </c>
      <c r="J28" s="2"/>
      <c r="K28" s="2" t="s">
        <v>264</v>
      </c>
      <c r="L28" s="2"/>
      <c r="M28" s="57" t="str">
        <f t="shared" si="1"/>
        <v>xsd:string</v>
      </c>
      <c r="N28" s="45"/>
      <c r="O28" s="45"/>
      <c r="P28" s="8"/>
      <c r="Q28" s="8"/>
      <c r="R28" s="2"/>
      <c r="T28" t="str">
        <f t="shared" si="2"/>
        <v/>
      </c>
    </row>
    <row r="29" ht="63.75">
      <c r="A29" s="2" t="str">
        <f>CONCATENATE(Préfixes!$B$3,":P",ROW(A29))</f>
        <v>med:P29</v>
      </c>
      <c r="B29" s="2" t="s">
        <v>265</v>
      </c>
      <c r="C29" s="2" t="s">
        <v>182</v>
      </c>
      <c r="D29" s="2"/>
      <c r="E29" s="8" t="s">
        <v>266</v>
      </c>
      <c r="F29" s="8" t="s">
        <v>297</v>
      </c>
      <c r="G29" s="8"/>
      <c r="H29" s="48">
        <v>1</v>
      </c>
      <c r="I29" s="49">
        <v>1</v>
      </c>
      <c r="J29" s="2" t="s">
        <v>268</v>
      </c>
      <c r="K29" s="2" t="s">
        <v>269</v>
      </c>
      <c r="L29" s="2"/>
      <c r="M29" s="45" t="str">
        <f t="shared" si="1"/>
        <v>rdf:langString</v>
      </c>
      <c r="N29" s="45" t="str">
        <f t="shared" si="3"/>
        <v/>
      </c>
      <c r="O29" s="45" t="str">
        <f t="shared" si="4"/>
        <v/>
      </c>
      <c r="P29" s="8" t="s">
        <v>270</v>
      </c>
      <c r="Q29" s="8"/>
      <c r="R29" s="2" t="s">
        <v>271</v>
      </c>
      <c r="T29" t="str">
        <f t="shared" si="2"/>
        <v/>
      </c>
    </row>
    <row r="30" ht="89.25">
      <c r="A30" s="2" t="str">
        <f>CONCATENATE(Préfixes!$B$3,":P",ROW(A30))</f>
        <v>med:P30</v>
      </c>
      <c r="B30" s="2" t="s">
        <v>272</v>
      </c>
      <c r="C30" s="2" t="s">
        <v>182</v>
      </c>
      <c r="D30" s="2"/>
      <c r="E30" s="8" t="s">
        <v>273</v>
      </c>
      <c r="F30" s="8" t="s">
        <v>278</v>
      </c>
      <c r="G30" s="8"/>
      <c r="H30" s="48">
        <v>1</v>
      </c>
      <c r="I30" s="49"/>
      <c r="J30" s="2" t="s">
        <v>58</v>
      </c>
      <c r="K30" s="2" t="s">
        <v>116</v>
      </c>
      <c r="L30" s="2"/>
      <c r="M30" s="45" t="str">
        <f t="shared" si="1"/>
        <v/>
      </c>
      <c r="N30" s="45" t="str">
        <f t="shared" si="3"/>
        <v>med:Substance</v>
      </c>
      <c r="O30" s="45" t="str">
        <f t="shared" si="4"/>
        <v/>
      </c>
      <c r="P30" s="8"/>
      <c r="Q30" s="8"/>
      <c r="T30" t="str">
        <f t="shared" si="2"/>
        <v/>
      </c>
    </row>
    <row r="31" ht="63.75">
      <c r="A31" s="2" t="str">
        <f>CONCATENATE(Préfixes!$B$3,":P",ROW(A31))</f>
        <v>med:P31</v>
      </c>
      <c r="B31" s="2" t="s">
        <v>279</v>
      </c>
      <c r="C31" s="2" t="s">
        <v>182</v>
      </c>
      <c r="D31" s="2"/>
      <c r="E31" s="8" t="s">
        <v>280</v>
      </c>
      <c r="F31" s="8" t="s">
        <v>281</v>
      </c>
      <c r="G31" s="8"/>
      <c r="H31" s="48"/>
      <c r="I31" s="49"/>
      <c r="J31" s="2" t="s">
        <v>58</v>
      </c>
      <c r="K31" s="2" t="s">
        <v>96</v>
      </c>
      <c r="L31" s="2"/>
      <c r="M31" s="45" t="str">
        <f t="shared" si="1"/>
        <v/>
      </c>
      <c r="N31" s="45" t="str">
        <f t="shared" si="3"/>
        <v>med:DosagePresentation</v>
      </c>
      <c r="O31" s="45" t="str">
        <f t="shared" si="4"/>
        <v/>
      </c>
      <c r="P31" s="8"/>
      <c r="Q31" s="8"/>
      <c r="T31" t="str">
        <f t="shared" si="2"/>
        <v/>
      </c>
    </row>
    <row r="32" ht="63.75">
      <c r="A32" s="2" t="str">
        <f>CONCATENATE(Préfixes!$B$3,":P",ROW(A32))</f>
        <v>med:P32</v>
      </c>
      <c r="B32" s="2" t="s">
        <v>282</v>
      </c>
      <c r="C32" s="2" t="s">
        <v>182</v>
      </c>
      <c r="D32" s="2"/>
      <c r="E32" s="8" t="s">
        <v>283</v>
      </c>
      <c r="F32" s="8" t="s">
        <v>284</v>
      </c>
      <c r="G32" s="8"/>
      <c r="H32" s="48"/>
      <c r="I32" s="49"/>
      <c r="J32" s="2" t="s">
        <v>58</v>
      </c>
      <c r="K32" s="2" t="s">
        <v>91</v>
      </c>
      <c r="L32" s="2"/>
      <c r="M32" s="45" t="str">
        <f t="shared" si="1"/>
        <v/>
      </c>
      <c r="N32" s="45" t="str">
        <f t="shared" si="3"/>
        <v>med:DosageConcentration</v>
      </c>
      <c r="O32" s="45" t="str">
        <f t="shared" si="4"/>
        <v/>
      </c>
      <c r="P32" s="8"/>
      <c r="Q32" s="8"/>
      <c r="T32" t="str">
        <f t="shared" si="2"/>
        <v/>
      </c>
    </row>
    <row r="33" ht="63.75">
      <c r="A33" s="2" t="str">
        <f>CONCATENATE(Préfixes!$B$3,":P",ROW(A33))</f>
        <v>med:P33</v>
      </c>
      <c r="B33" s="2" t="s">
        <v>291</v>
      </c>
      <c r="C33" s="2" t="s">
        <v>182</v>
      </c>
      <c r="D33" s="2"/>
      <c r="E33" s="8" t="s">
        <v>292</v>
      </c>
      <c r="F33" s="8" t="s">
        <v>298</v>
      </c>
      <c r="G33" s="8"/>
      <c r="H33" s="48">
        <v>1</v>
      </c>
      <c r="I33" s="49">
        <v>1</v>
      </c>
      <c r="J33" s="2" t="s">
        <v>58</v>
      </c>
      <c r="K33" s="2" t="s">
        <v>123</v>
      </c>
      <c r="L33" s="2"/>
      <c r="M33" s="45" t="str">
        <f t="shared" si="1"/>
        <v/>
      </c>
      <c r="N33" s="45" t="str">
        <f t="shared" si="3"/>
        <v>med:Forme</v>
      </c>
      <c r="O33" s="45" t="str">
        <f t="shared" si="4"/>
        <v/>
      </c>
      <c r="P33" s="8"/>
      <c r="Q33" s="8"/>
      <c r="T33" t="str">
        <f t="shared" si="2"/>
        <v/>
      </c>
    </row>
    <row r="34" ht="38.25">
      <c r="A34" s="2" t="str">
        <f>CONCATENATE(Préfixes!$B$3,":P",ROW(A34))</f>
        <v>med:P34</v>
      </c>
      <c r="B34" s="2" t="s">
        <v>299</v>
      </c>
      <c r="C34" s="2" t="s">
        <v>182</v>
      </c>
      <c r="D34" s="2"/>
      <c r="E34" s="8" t="s">
        <v>300</v>
      </c>
      <c r="F34" s="8" t="s">
        <v>301</v>
      </c>
      <c r="G34" s="8"/>
      <c r="H34" s="48">
        <v>1</v>
      </c>
      <c r="I34" s="49">
        <v>1</v>
      </c>
      <c r="J34" s="2" t="s">
        <v>58</v>
      </c>
      <c r="K34" s="2" t="s">
        <v>174</v>
      </c>
      <c r="L34" s="2"/>
      <c r="M34" s="45" t="str">
        <f t="shared" si="1"/>
        <v/>
      </c>
      <c r="N34" s="45" t="str">
        <f t="shared" si="3"/>
        <v>med:PPhParSubstanceDosage</v>
      </c>
      <c r="O34" s="45" t="str">
        <f t="shared" si="4"/>
        <v/>
      </c>
      <c r="P34" s="8"/>
      <c r="Q34" s="8"/>
      <c r="R34" s="2"/>
      <c r="T34" t="str">
        <f t="shared" si="2"/>
        <v/>
      </c>
    </row>
    <row r="35" ht="38.25">
      <c r="A35" s="2" t="str">
        <f>CONCATENATE(Préfixes!$B$3,":P",ROW(A35))</f>
        <v>med:P35</v>
      </c>
      <c r="B35" s="2" t="s">
        <v>302</v>
      </c>
      <c r="C35" s="2" t="s">
        <v>182</v>
      </c>
      <c r="D35" s="2"/>
      <c r="E35" s="8" t="s">
        <v>303</v>
      </c>
      <c r="F35" s="8" t="s">
        <v>304</v>
      </c>
      <c r="G35" s="8"/>
      <c r="H35" s="48">
        <v>1</v>
      </c>
      <c r="I35" s="49">
        <v>1</v>
      </c>
      <c r="J35" s="2" t="s">
        <v>58</v>
      </c>
      <c r="K35" s="2" t="s">
        <v>178</v>
      </c>
      <c r="L35" s="2"/>
      <c r="M35" s="45" t="str">
        <f t="shared" si="1"/>
        <v/>
      </c>
      <c r="N35" s="45" t="str">
        <f t="shared" si="3"/>
        <v>med:PPhParSubstanceForme</v>
      </c>
      <c r="O35" s="45" t="str">
        <f t="shared" si="4"/>
        <v/>
      </c>
      <c r="P35" s="8"/>
      <c r="Q35" s="8"/>
      <c r="R35" s="2"/>
      <c r="T35" t="str">
        <f t="shared" si="2"/>
        <v/>
      </c>
    </row>
    <row r="36" ht="16.5">
      <c r="A36" s="58"/>
      <c r="B36" s="58" t="s">
        <v>305</v>
      </c>
      <c r="C36" s="58"/>
      <c r="D36" s="58"/>
      <c r="E36" s="58"/>
      <c r="F36" s="58"/>
      <c r="G36" s="58"/>
      <c r="H36" s="59"/>
      <c r="I36" s="60"/>
      <c r="J36" s="58"/>
      <c r="K36" s="58"/>
      <c r="L36" s="58"/>
      <c r="M36" s="58"/>
      <c r="N36" s="58"/>
      <c r="O36" s="58"/>
      <c r="P36" s="58"/>
      <c r="Q36" s="58"/>
      <c r="R36" s="58"/>
      <c r="S36" s="58"/>
      <c r="T36" s="58"/>
      <c r="U36" s="58"/>
      <c r="V36" s="58"/>
      <c r="W36" s="58"/>
      <c r="X36" s="58"/>
      <c r="Y36" s="58"/>
      <c r="Z36" s="58"/>
      <c r="AA36" s="58"/>
      <c r="AB36" s="58"/>
      <c r="AC36" s="58"/>
      <c r="AD36" s="58"/>
      <c r="AE36" s="58"/>
      <c r="AF36" s="58"/>
    </row>
    <row r="37" ht="12.75">
      <c r="A37" s="2" t="str">
        <f>CONCATENATE(Préfixes!$B$3,":P",ROW(A37))</f>
        <v>med:P37</v>
      </c>
      <c r="B37" s="2" t="s">
        <v>261</v>
      </c>
      <c r="C37" s="2" t="s">
        <v>159</v>
      </c>
      <c r="D37" s="2"/>
      <c r="E37" s="8" t="s">
        <v>262</v>
      </c>
      <c r="F37" s="8" t="s">
        <v>306</v>
      </c>
      <c r="G37" s="8"/>
      <c r="H37" s="48">
        <v>1</v>
      </c>
      <c r="I37" s="49">
        <v>1</v>
      </c>
      <c r="J37" s="2"/>
      <c r="K37" s="2" t="s">
        <v>264</v>
      </c>
      <c r="L37" s="2"/>
      <c r="M37" s="57" t="str">
        <f t="shared" si="1"/>
        <v>xsd:string</v>
      </c>
      <c r="N37" s="45"/>
      <c r="O37" s="45"/>
      <c r="P37" s="8"/>
      <c r="Q37" s="8"/>
      <c r="R37" s="2"/>
      <c r="T37" t="str">
        <f t="shared" si="2"/>
        <v/>
      </c>
    </row>
    <row r="38" ht="76.5">
      <c r="A38" s="2" t="str">
        <f>CONCATENATE(Préfixes!$B$3,":P",ROW(A38))</f>
        <v>med:P38</v>
      </c>
      <c r="B38" s="2" t="s">
        <v>265</v>
      </c>
      <c r="C38" s="2" t="s">
        <v>159</v>
      </c>
      <c r="D38" s="2"/>
      <c r="E38" s="8" t="s">
        <v>307</v>
      </c>
      <c r="F38" s="8" t="s">
        <v>308</v>
      </c>
      <c r="G38" s="8"/>
      <c r="H38" s="48">
        <v>1</v>
      </c>
      <c r="I38" s="49">
        <v>1</v>
      </c>
      <c r="J38" s="2" t="s">
        <v>268</v>
      </c>
      <c r="K38" s="2" t="s">
        <v>269</v>
      </c>
      <c r="L38" s="2"/>
      <c r="M38" s="45" t="str">
        <f t="shared" si="1"/>
        <v>rdf:langString</v>
      </c>
      <c r="N38" s="45" t="str">
        <f t="shared" si="3"/>
        <v/>
      </c>
      <c r="O38" s="45" t="str">
        <f t="shared" si="4"/>
        <v/>
      </c>
      <c r="P38" s="8" t="s">
        <v>270</v>
      </c>
      <c r="Q38" s="8"/>
      <c r="R38" s="2" t="s">
        <v>271</v>
      </c>
      <c r="T38" t="str">
        <f t="shared" si="2"/>
        <v/>
      </c>
    </row>
    <row r="39" ht="12.75">
      <c r="A39" s="2" t="str">
        <f>CONCATENATE(Préfixes!$B$3,":P",ROW(A39))</f>
        <v>med:P39</v>
      </c>
      <c r="B39" s="2" t="s">
        <v>309</v>
      </c>
      <c r="C39" s="2" t="s">
        <v>159</v>
      </c>
      <c r="D39" s="2"/>
      <c r="E39" s="8" t="s">
        <v>310</v>
      </c>
      <c r="F39" s="8" t="s">
        <v>311</v>
      </c>
      <c r="G39" s="8"/>
      <c r="H39" s="48"/>
      <c r="I39" s="49">
        <v>1</v>
      </c>
      <c r="J39" s="2" t="s">
        <v>268</v>
      </c>
      <c r="K39" s="2" t="s">
        <v>312</v>
      </c>
      <c r="L39" s="2"/>
      <c r="M39" s="45" t="str">
        <f t="shared" si="1"/>
        <v>xsd:date</v>
      </c>
      <c r="N39" s="45" t="str">
        <f t="shared" si="3"/>
        <v/>
      </c>
      <c r="O39" s="45" t="str">
        <f t="shared" si="4"/>
        <v/>
      </c>
      <c r="P39" s="8"/>
      <c r="Q39" s="8"/>
      <c r="T39" t="str">
        <f t="shared" si="2"/>
        <v/>
      </c>
    </row>
    <row r="40" ht="12.75">
      <c r="A40" s="2" t="str">
        <f>CONCATENATE(Préfixes!$B$3,":P",ROW(A40))</f>
        <v>med:P40</v>
      </c>
      <c r="B40" s="2" t="s">
        <v>313</v>
      </c>
      <c r="C40" s="2" t="s">
        <v>159</v>
      </c>
      <c r="D40" s="2"/>
      <c r="E40" s="8" t="s">
        <v>314</v>
      </c>
      <c r="F40" s="8" t="s">
        <v>315</v>
      </c>
      <c r="G40" s="8"/>
      <c r="H40" s="48"/>
      <c r="I40" s="49">
        <v>1</v>
      </c>
      <c r="J40" s="2" t="s">
        <v>268</v>
      </c>
      <c r="K40" s="2" t="s">
        <v>312</v>
      </c>
      <c r="L40" s="2"/>
      <c r="M40" s="45" t="str">
        <f t="shared" si="1"/>
        <v>xsd:date</v>
      </c>
      <c r="N40" s="45" t="str">
        <f t="shared" si="3"/>
        <v/>
      </c>
      <c r="O40" s="45" t="str">
        <f t="shared" si="4"/>
        <v/>
      </c>
      <c r="P40" s="8"/>
      <c r="Q40" s="8"/>
      <c r="R40" s="2"/>
      <c r="T40" t="str">
        <f t="shared" si="2"/>
        <v/>
      </c>
    </row>
    <row r="41" ht="12.75">
      <c r="A41" s="2" t="str">
        <f>CONCATENATE(Préfixes!$B$3,":P",ROW(A41))</f>
        <v>med:P41</v>
      </c>
      <c r="B41" s="2" t="s">
        <v>316</v>
      </c>
      <c r="C41" s="2" t="s">
        <v>159</v>
      </c>
      <c r="D41" s="2"/>
      <c r="E41" s="8" t="s">
        <v>317</v>
      </c>
      <c r="F41" s="8" t="s">
        <v>318</v>
      </c>
      <c r="G41" s="8"/>
      <c r="H41" s="48">
        <v>1</v>
      </c>
      <c r="I41" s="49">
        <v>1</v>
      </c>
      <c r="J41" s="2" t="s">
        <v>268</v>
      </c>
      <c r="K41" s="2" t="s">
        <v>319</v>
      </c>
      <c r="L41" s="2"/>
      <c r="M41" s="45" t="str">
        <f t="shared" si="1"/>
        <v>xsd:boolean</v>
      </c>
      <c r="N41" s="45" t="str">
        <f t="shared" si="3"/>
        <v/>
      </c>
      <c r="O41" s="45" t="str">
        <f t="shared" si="4"/>
        <v/>
      </c>
      <c r="P41" s="8"/>
      <c r="Q41" s="8"/>
      <c r="T41" t="str">
        <f t="shared" si="2"/>
        <v/>
      </c>
    </row>
    <row r="42" ht="63.75">
      <c r="A42" s="2" t="str">
        <f>CONCATENATE(Préfixes!$B$3,":P",ROW(A42))</f>
        <v>med:P42</v>
      </c>
      <c r="B42" s="2" t="s">
        <v>272</v>
      </c>
      <c r="C42" s="2" t="s">
        <v>159</v>
      </c>
      <c r="D42" s="2"/>
      <c r="E42" s="8" t="s">
        <v>273</v>
      </c>
      <c r="F42" s="8" t="s">
        <v>320</v>
      </c>
      <c r="G42" s="8" t="s">
        <v>321</v>
      </c>
      <c r="H42" s="48">
        <v>1</v>
      </c>
      <c r="I42" s="49">
        <v>3</v>
      </c>
      <c r="J42" s="2" t="s">
        <v>58</v>
      </c>
      <c r="K42" s="2" t="s">
        <v>116</v>
      </c>
      <c r="L42" s="2"/>
      <c r="M42" s="45" t="str">
        <f t="shared" si="1"/>
        <v/>
      </c>
      <c r="N42" s="45" t="str">
        <f t="shared" si="3"/>
        <v>med:Substance</v>
      </c>
      <c r="O42" s="45" t="str">
        <f t="shared" si="4"/>
        <v/>
      </c>
      <c r="P42" s="8"/>
      <c r="Q42" s="8"/>
      <c r="T42" t="str">
        <f t="shared" si="2"/>
        <v/>
      </c>
    </row>
    <row r="43" ht="76.5">
      <c r="A43" s="2" t="str">
        <f>CONCATENATE(Préfixes!$B$3,":P",ROW(A43))</f>
        <v>med:P43</v>
      </c>
      <c r="B43" s="2" t="s">
        <v>279</v>
      </c>
      <c r="C43" s="2" t="s">
        <v>159</v>
      </c>
      <c r="D43" s="2"/>
      <c r="E43" s="8" t="s">
        <v>280</v>
      </c>
      <c r="F43" s="8" t="s">
        <v>322</v>
      </c>
      <c r="G43" s="8"/>
      <c r="H43" s="48"/>
      <c r="I43" s="49">
        <v>6</v>
      </c>
      <c r="J43" s="2" t="s">
        <v>58</v>
      </c>
      <c r="K43" s="2" t="s">
        <v>96</v>
      </c>
      <c r="L43" s="2"/>
      <c r="M43" s="45" t="str">
        <f t="shared" si="1"/>
        <v/>
      </c>
      <c r="N43" s="45" t="str">
        <f t="shared" si="3"/>
        <v>med:DosagePresentation</v>
      </c>
      <c r="O43" s="45" t="str">
        <f t="shared" si="4"/>
        <v/>
      </c>
      <c r="P43" s="8"/>
      <c r="Q43" s="8"/>
      <c r="T43" t="str">
        <f t="shared" si="2"/>
        <v/>
      </c>
    </row>
    <row r="44" ht="76.5">
      <c r="A44" s="2" t="str">
        <f>CONCATENATE(Préfixes!$B$3,":P",ROW(A44))</f>
        <v>med:P44</v>
      </c>
      <c r="B44" s="2" t="s">
        <v>282</v>
      </c>
      <c r="C44" s="2" t="s">
        <v>159</v>
      </c>
      <c r="D44" s="2"/>
      <c r="E44" s="8" t="s">
        <v>283</v>
      </c>
      <c r="F44" s="8" t="s">
        <v>323</v>
      </c>
      <c r="G44" s="8"/>
      <c r="H44" s="48"/>
      <c r="I44" s="49">
        <v>6</v>
      </c>
      <c r="J44" s="2" t="s">
        <v>58</v>
      </c>
      <c r="K44" s="2" t="s">
        <v>91</v>
      </c>
      <c r="L44" s="2"/>
      <c r="M44" s="45" t="str">
        <f t="shared" si="1"/>
        <v/>
      </c>
      <c r="N44" s="45" t="str">
        <f t="shared" si="3"/>
        <v>med:DosageConcentration</v>
      </c>
      <c r="O44" s="45" t="str">
        <f t="shared" si="4"/>
        <v/>
      </c>
      <c r="P44" s="8"/>
      <c r="Q44" s="8"/>
      <c r="T44" t="str">
        <f t="shared" si="2"/>
        <v/>
      </c>
    </row>
    <row r="45" ht="114.75">
      <c r="A45" s="2" t="str">
        <f>CONCATENATE(Préfixes!$B$3,":P",ROW(A45))</f>
        <v>med:P45</v>
      </c>
      <c r="B45" s="2" t="s">
        <v>324</v>
      </c>
      <c r="C45" s="2" t="s">
        <v>159</v>
      </c>
      <c r="D45" s="2"/>
      <c r="E45" s="8" t="s">
        <v>325</v>
      </c>
      <c r="F45" s="8" t="s">
        <v>326</v>
      </c>
      <c r="G45" s="8"/>
      <c r="H45" s="48">
        <v>1</v>
      </c>
      <c r="I45" s="49">
        <v>1</v>
      </c>
      <c r="J45" s="2" t="s">
        <v>58</v>
      </c>
      <c r="K45" s="2" t="s">
        <v>123</v>
      </c>
      <c r="L45" s="2"/>
      <c r="M45" s="45" t="str">
        <f t="shared" si="1"/>
        <v/>
      </c>
      <c r="N45" s="45" t="str">
        <f t="shared" si="3"/>
        <v>med:Forme</v>
      </c>
      <c r="O45" s="45" t="str">
        <f t="shared" si="4"/>
        <v/>
      </c>
      <c r="P45" s="8"/>
      <c r="Q45" s="8"/>
      <c r="R45" s="2"/>
      <c r="T45" t="str">
        <f t="shared" si="2"/>
        <v/>
      </c>
    </row>
    <row r="46" ht="25.5">
      <c r="A46" s="2" t="str">
        <f>CONCATENATE(Préfixes!$B$3,":P",ROW(A46))</f>
        <v>med:P46</v>
      </c>
      <c r="B46" s="2" t="s">
        <v>327</v>
      </c>
      <c r="C46" s="2" t="s">
        <v>159</v>
      </c>
      <c r="D46" s="2"/>
      <c r="E46" s="8" t="s">
        <v>328</v>
      </c>
      <c r="F46" s="8" t="s">
        <v>329</v>
      </c>
      <c r="G46" s="8"/>
      <c r="H46" s="48">
        <v>1</v>
      </c>
      <c r="I46" s="49">
        <v>1</v>
      </c>
      <c r="J46" s="2" t="s">
        <v>58</v>
      </c>
      <c r="K46" s="2" t="s">
        <v>120</v>
      </c>
      <c r="L46" s="2"/>
      <c r="M46" s="45" t="str">
        <f t="shared" si="1"/>
        <v/>
      </c>
      <c r="N46" s="45" t="str">
        <f t="shared" si="3"/>
        <v>med:Voie</v>
      </c>
      <c r="O46" s="45" t="str">
        <f t="shared" si="4"/>
        <v/>
      </c>
      <c r="P46" s="8"/>
      <c r="Q46" s="8"/>
      <c r="T46" t="str">
        <f t="shared" si="2"/>
        <v/>
      </c>
    </row>
    <row r="47" ht="63.75">
      <c r="A47" s="2" t="str">
        <f>CONCATENATE(Préfixes!$B$3,":P",ROW(A47))</f>
        <v>med:P47</v>
      </c>
      <c r="B47" s="2" t="s">
        <v>330</v>
      </c>
      <c r="C47" s="2" t="s">
        <v>159</v>
      </c>
      <c r="D47" s="2"/>
      <c r="E47" s="8" t="s">
        <v>331</v>
      </c>
      <c r="F47" s="8" t="s">
        <v>332</v>
      </c>
      <c r="G47" s="8"/>
      <c r="H47" s="48">
        <v>1</v>
      </c>
      <c r="I47" s="49">
        <v>1</v>
      </c>
      <c r="J47" s="2" t="s">
        <v>58</v>
      </c>
      <c r="K47" s="2" t="s">
        <v>127</v>
      </c>
      <c r="L47" s="2"/>
      <c r="M47" s="45" t="str">
        <f t="shared" si="1"/>
        <v/>
      </c>
      <c r="N47" s="45" t="str">
        <f t="shared" si="3"/>
        <v>med:UniteDePresentation</v>
      </c>
      <c r="O47" s="45" t="str">
        <f t="shared" si="4"/>
        <v/>
      </c>
      <c r="P47" s="8"/>
      <c r="Q47" s="8"/>
      <c r="R47" s="2"/>
      <c r="T47" t="str">
        <f t="shared" si="2"/>
        <v/>
      </c>
    </row>
    <row r="48" ht="89.25">
      <c r="A48" s="2" t="str">
        <f>CONCATENATE(Préfixes!$B$3,":P",ROW(A48))</f>
        <v>med:P48</v>
      </c>
      <c r="B48" s="2" t="s">
        <v>333</v>
      </c>
      <c r="C48" s="2" t="s">
        <v>159</v>
      </c>
      <c r="D48" s="2"/>
      <c r="E48" s="8" t="s">
        <v>334</v>
      </c>
      <c r="F48" s="8" t="s">
        <v>335</v>
      </c>
      <c r="G48" s="8"/>
      <c r="H48" s="48">
        <v>1</v>
      </c>
      <c r="I48" s="49"/>
      <c r="J48" s="2" t="s">
        <v>58</v>
      </c>
      <c r="K48" s="2"/>
      <c r="L48" s="2"/>
      <c r="M48" s="45" t="str">
        <f t="shared" si="1"/>
        <v/>
      </c>
      <c r="N48" s="45" t="str">
        <f t="shared" si="3"/>
        <v/>
      </c>
      <c r="O48" s="45" t="str">
        <f t="shared" si="4"/>
        <v/>
      </c>
      <c r="P48" s="8"/>
      <c r="Q48" s="8"/>
      <c r="T48" t="str">
        <f t="shared" si="2"/>
        <v/>
      </c>
    </row>
    <row r="49" ht="51">
      <c r="A49" s="2" t="str">
        <f>CONCATENATE(Préfixes!$B$3,":P",ROW(A49))</f>
        <v>med:P49</v>
      </c>
      <c r="B49" s="2" t="s">
        <v>336</v>
      </c>
      <c r="C49" s="2" t="s">
        <v>159</v>
      </c>
      <c r="D49" s="2"/>
      <c r="E49" s="8" t="s">
        <v>337</v>
      </c>
      <c r="F49" s="8" t="s">
        <v>338</v>
      </c>
      <c r="G49" s="8"/>
      <c r="H49" s="48">
        <v>1</v>
      </c>
      <c r="I49" s="49">
        <v>1</v>
      </c>
      <c r="J49" s="2" t="s">
        <v>58</v>
      </c>
      <c r="K49" s="2" t="s">
        <v>182</v>
      </c>
      <c r="L49" s="2"/>
      <c r="M49" s="45" t="str">
        <f t="shared" si="1"/>
        <v/>
      </c>
      <c r="N49" s="45" t="str">
        <f t="shared" si="3"/>
        <v>med:PPhParSubstanceDosageForme</v>
      </c>
      <c r="O49" s="45" t="str">
        <f t="shared" si="4"/>
        <v/>
      </c>
      <c r="P49" s="8"/>
      <c r="Q49" s="8"/>
      <c r="T49" t="str">
        <f t="shared" si="2"/>
        <v/>
      </c>
    </row>
    <row r="50" ht="16.5">
      <c r="A50" s="61"/>
      <c r="B50" s="61" t="s">
        <v>339</v>
      </c>
      <c r="C50" s="61"/>
      <c r="D50" s="61"/>
      <c r="E50" s="61"/>
      <c r="F50" s="61"/>
      <c r="G50" s="61"/>
      <c r="H50" s="62"/>
      <c r="I50" s="63"/>
      <c r="J50" s="61"/>
      <c r="K50" s="61"/>
      <c r="L50" s="61"/>
      <c r="M50" s="61"/>
      <c r="N50" s="61"/>
      <c r="O50" s="61"/>
      <c r="P50" s="61"/>
      <c r="Q50" s="61"/>
      <c r="R50" s="61"/>
      <c r="S50" s="61"/>
      <c r="T50" s="61"/>
      <c r="U50" s="61"/>
      <c r="V50" s="61"/>
      <c r="W50" s="61"/>
      <c r="X50" s="61"/>
      <c r="Y50" s="61"/>
      <c r="Z50" s="61"/>
      <c r="AA50" s="61"/>
      <c r="AB50" s="61"/>
      <c r="AC50" s="61"/>
      <c r="AD50" s="61"/>
      <c r="AE50" s="61"/>
      <c r="AF50" s="61"/>
    </row>
    <row r="51" ht="63.75">
      <c r="A51" s="2" t="str">
        <f>CONCATENATE(Préfixes!$B$3,":P",ROW(A51))</f>
        <v>med:P51</v>
      </c>
      <c r="B51" s="2" t="s">
        <v>265</v>
      </c>
      <c r="C51" s="2" t="s">
        <v>96</v>
      </c>
      <c r="D51" s="2"/>
      <c r="E51" s="8" t="s">
        <v>340</v>
      </c>
      <c r="F51" s="8" t="s">
        <v>341</v>
      </c>
      <c r="G51" s="8" t="s">
        <v>342</v>
      </c>
      <c r="H51" s="48">
        <v>1</v>
      </c>
      <c r="I51" s="49">
        <v>1</v>
      </c>
      <c r="J51" s="2" t="s">
        <v>268</v>
      </c>
      <c r="K51" s="2" t="s">
        <v>269</v>
      </c>
      <c r="L51" s="2"/>
      <c r="M51" s="45" t="str">
        <f t="shared" si="1"/>
        <v>rdf:langString</v>
      </c>
      <c r="N51" s="45" t="str">
        <f t="shared" si="3"/>
        <v/>
      </c>
      <c r="O51" s="45" t="str">
        <f t="shared" si="4"/>
        <v/>
      </c>
      <c r="P51" s="8" t="s">
        <v>270</v>
      </c>
      <c r="Q51" s="8"/>
      <c r="T51" t="str">
        <f t="shared" si="2"/>
        <v/>
      </c>
    </row>
    <row r="52" ht="12.75">
      <c r="A52" s="2" t="str">
        <f>CONCATENATE(Préfixes!$B$3,":P",ROW(A52))</f>
        <v>med:P52</v>
      </c>
      <c r="B52" s="2" t="s">
        <v>343</v>
      </c>
      <c r="C52" s="2" t="s">
        <v>96</v>
      </c>
      <c r="D52" s="2"/>
      <c r="E52" s="8" t="s">
        <v>344</v>
      </c>
      <c r="F52" s="8" t="s">
        <v>345</v>
      </c>
      <c r="G52" s="8"/>
      <c r="H52" s="48">
        <v>1</v>
      </c>
      <c r="I52" s="49">
        <v>1</v>
      </c>
      <c r="J52" s="2" t="s">
        <v>58</v>
      </c>
      <c r="K52" s="2" t="s">
        <v>116</v>
      </c>
      <c r="L52" s="2"/>
      <c r="M52" s="45" t="str">
        <f t="shared" si="1"/>
        <v/>
      </c>
      <c r="N52" s="45" t="str">
        <f t="shared" si="3"/>
        <v>med:Substance</v>
      </c>
      <c r="O52" s="45" t="str">
        <f t="shared" si="4"/>
        <v/>
      </c>
      <c r="P52" s="8"/>
      <c r="Q52" s="8"/>
      <c r="T52" t="str">
        <f t="shared" si="2"/>
        <v/>
      </c>
    </row>
    <row r="53" ht="51">
      <c r="A53" s="2" t="str">
        <f>CONCATENATE(Préfixes!$B$3,":P",ROW(A53))</f>
        <v>med:P53</v>
      </c>
      <c r="B53" s="2" t="s">
        <v>346</v>
      </c>
      <c r="C53" s="2" t="s">
        <v>96</v>
      </c>
      <c r="D53" s="2"/>
      <c r="E53" s="8" t="s">
        <v>347</v>
      </c>
      <c r="F53" s="8" t="s">
        <v>348</v>
      </c>
      <c r="G53" s="8"/>
      <c r="H53" s="48"/>
      <c r="I53" s="49">
        <v>1</v>
      </c>
      <c r="J53" s="2" t="s">
        <v>268</v>
      </c>
      <c r="K53" s="2" t="s">
        <v>349</v>
      </c>
      <c r="L53" s="2"/>
      <c r="M53" s="45" t="str">
        <f t="shared" si="1"/>
        <v>xsd:decimal</v>
      </c>
      <c r="N53" s="45" t="str">
        <f t="shared" si="3"/>
        <v/>
      </c>
      <c r="O53" s="45" t="str">
        <f t="shared" si="4"/>
        <v/>
      </c>
      <c r="P53" s="8"/>
      <c r="Q53" s="8"/>
      <c r="T53" t="str">
        <f t="shared" si="2"/>
        <v/>
      </c>
    </row>
    <row r="54" ht="76.5">
      <c r="A54" s="2" t="str">
        <f>CONCATENATE(Préfixes!$B$3,":P",ROW(A54))</f>
        <v>med:P54</v>
      </c>
      <c r="B54" s="2" t="s">
        <v>350</v>
      </c>
      <c r="C54" s="2" t="s">
        <v>96</v>
      </c>
      <c r="D54" s="2"/>
      <c r="E54" s="8" t="s">
        <v>351</v>
      </c>
      <c r="F54" s="8" t="s">
        <v>352</v>
      </c>
      <c r="G54" s="8"/>
      <c r="H54" s="48"/>
      <c r="I54" s="49">
        <v>1</v>
      </c>
      <c r="J54" s="2" t="s">
        <v>268</v>
      </c>
      <c r="K54" s="2" t="s">
        <v>353</v>
      </c>
      <c r="L54" s="2"/>
      <c r="M54" s="45" t="str">
        <f t="shared" si="1"/>
        <v>cdt:ucumunit</v>
      </c>
      <c r="N54" s="45" t="str">
        <f t="shared" si="3"/>
        <v/>
      </c>
      <c r="O54" s="45" t="str">
        <f t="shared" si="4"/>
        <v/>
      </c>
      <c r="P54" s="8"/>
      <c r="Q54" s="8"/>
      <c r="T54" t="str">
        <f t="shared" si="2"/>
        <v/>
      </c>
    </row>
    <row r="55" ht="38.25">
      <c r="A55" s="2" t="str">
        <f>CONCATENATE(Préfixes!$B$3,":P",ROW(A55))</f>
        <v>med:P55</v>
      </c>
      <c r="B55" s="2" t="s">
        <v>354</v>
      </c>
      <c r="C55" s="2" t="s">
        <v>96</v>
      </c>
      <c r="D55" s="2"/>
      <c r="E55" s="8" t="s">
        <v>355</v>
      </c>
      <c r="F55" s="8" t="s">
        <v>356</v>
      </c>
      <c r="G55" s="8"/>
      <c r="H55" s="48"/>
      <c r="I55" s="49">
        <v>1</v>
      </c>
      <c r="J55" s="2" t="s">
        <v>268</v>
      </c>
      <c r="K55" s="2" t="s">
        <v>349</v>
      </c>
      <c r="L55" s="2"/>
      <c r="M55" s="45" t="str">
        <f t="shared" si="1"/>
        <v>xsd:decimal</v>
      </c>
      <c r="N55" s="45" t="str">
        <f t="shared" si="3"/>
        <v/>
      </c>
      <c r="O55" s="45"/>
      <c r="P55" s="8"/>
      <c r="Q55" s="8"/>
      <c r="T55" t="str">
        <f t="shared" si="2"/>
        <v/>
      </c>
    </row>
    <row r="56" ht="51">
      <c r="A56" s="2" t="str">
        <f>CONCATENATE(Préfixes!$B$3,":P",ROW(A56))</f>
        <v>med:P56</v>
      </c>
      <c r="B56" s="2" t="s">
        <v>357</v>
      </c>
      <c r="C56" s="2" t="s">
        <v>96</v>
      </c>
      <c r="D56" s="2"/>
      <c r="E56" s="8" t="s">
        <v>358</v>
      </c>
      <c r="F56" s="8" t="s">
        <v>359</v>
      </c>
      <c r="G56" s="8"/>
      <c r="H56" s="48"/>
      <c r="I56" s="49">
        <v>1</v>
      </c>
      <c r="J56" s="2" t="s">
        <v>268</v>
      </c>
      <c r="K56" s="2" t="s">
        <v>353</v>
      </c>
      <c r="L56" s="2"/>
      <c r="M56" s="45" t="str">
        <f t="shared" si="1"/>
        <v>cdt:ucumunit</v>
      </c>
      <c r="N56" s="45" t="str">
        <f t="shared" si="3"/>
        <v/>
      </c>
      <c r="O56" s="45"/>
      <c r="P56" s="8"/>
      <c r="Q56" s="8"/>
      <c r="T56" t="str">
        <f t="shared" si="2"/>
        <v/>
      </c>
    </row>
    <row r="57" ht="38.25">
      <c r="A57" s="2" t="str">
        <f>CONCATENATE(Préfixes!$B$3,":P",ROW(A57))</f>
        <v>med:P57</v>
      </c>
      <c r="B57" s="2" t="s">
        <v>360</v>
      </c>
      <c r="C57" s="2" t="s">
        <v>96</v>
      </c>
      <c r="D57" s="2"/>
      <c r="E57" s="8" t="s">
        <v>361</v>
      </c>
      <c r="F57" s="8" t="s">
        <v>362</v>
      </c>
      <c r="G57" s="8"/>
      <c r="H57" s="48"/>
      <c r="I57" s="49">
        <v>1</v>
      </c>
      <c r="J57" s="2" t="s">
        <v>268</v>
      </c>
      <c r="K57" s="2" t="s">
        <v>349</v>
      </c>
      <c r="L57" s="2"/>
      <c r="M57" s="45" t="str">
        <f t="shared" si="1"/>
        <v>xsd:decimal</v>
      </c>
      <c r="N57" s="45" t="str">
        <f t="shared" si="3"/>
        <v/>
      </c>
      <c r="O57" s="45"/>
      <c r="P57" s="8"/>
      <c r="Q57" s="8"/>
      <c r="T57" t="str">
        <f t="shared" si="2"/>
        <v/>
      </c>
    </row>
    <row r="58" ht="51">
      <c r="A58" s="2" t="str">
        <f>CONCATENATE(Préfixes!$B$3,":P",ROW(A58))</f>
        <v>med:P58</v>
      </c>
      <c r="B58" s="2" t="s">
        <v>363</v>
      </c>
      <c r="C58" s="2" t="s">
        <v>96</v>
      </c>
      <c r="D58" s="2"/>
      <c r="E58" s="8" t="s">
        <v>364</v>
      </c>
      <c r="F58" s="8" t="s">
        <v>365</v>
      </c>
      <c r="G58" s="8"/>
      <c r="H58" s="48"/>
      <c r="I58" s="49">
        <v>1</v>
      </c>
      <c r="J58" s="2" t="s">
        <v>268</v>
      </c>
      <c r="K58" s="2" t="s">
        <v>353</v>
      </c>
      <c r="L58" s="2"/>
      <c r="M58" s="45" t="str">
        <f t="shared" si="1"/>
        <v>cdt:ucumunit</v>
      </c>
      <c r="N58" s="45" t="str">
        <f t="shared" si="3"/>
        <v/>
      </c>
      <c r="O58" s="45"/>
      <c r="P58" s="8"/>
      <c r="Q58" s="8"/>
      <c r="T58" t="str">
        <f t="shared" si="2"/>
        <v/>
      </c>
    </row>
    <row r="59" ht="63.75">
      <c r="A59" s="2" t="str">
        <f>CONCATENATE(Préfixes!$B$3,":P",ROW(A59))</f>
        <v>med:P59</v>
      </c>
      <c r="B59" s="2" t="s">
        <v>366</v>
      </c>
      <c r="C59" s="2" t="s">
        <v>96</v>
      </c>
      <c r="D59" s="2"/>
      <c r="E59" s="8" t="s">
        <v>367</v>
      </c>
      <c r="F59" s="8" t="s">
        <v>368</v>
      </c>
      <c r="G59" s="8" t="s">
        <v>369</v>
      </c>
      <c r="H59" s="48"/>
      <c r="I59" s="49">
        <v>1</v>
      </c>
      <c r="J59" s="2" t="s">
        <v>268</v>
      </c>
      <c r="K59" s="2" t="s">
        <v>349</v>
      </c>
      <c r="L59" s="2"/>
      <c r="M59" s="45" t="str">
        <f t="shared" si="1"/>
        <v>xsd:decimal</v>
      </c>
      <c r="N59" s="45" t="str">
        <f t="shared" si="3"/>
        <v/>
      </c>
      <c r="O59" s="45" t="str">
        <f t="shared" si="4"/>
        <v/>
      </c>
      <c r="P59" s="8"/>
      <c r="Q59" s="8"/>
      <c r="T59" t="str">
        <f t="shared" si="2"/>
        <v/>
      </c>
    </row>
    <row r="60" ht="63.75">
      <c r="A60" s="2" t="str">
        <f>CONCATENATE(Préfixes!$B$3,":P",ROW(A60))</f>
        <v>med:P60</v>
      </c>
      <c r="B60" s="2" t="s">
        <v>370</v>
      </c>
      <c r="C60" s="2" t="s">
        <v>96</v>
      </c>
      <c r="D60" s="2"/>
      <c r="E60" s="8" t="s">
        <v>371</v>
      </c>
      <c r="F60" s="8" t="s">
        <v>372</v>
      </c>
      <c r="G60" s="8"/>
      <c r="H60" s="48"/>
      <c r="I60" s="49">
        <v>1</v>
      </c>
      <c r="J60" s="2" t="s">
        <v>268</v>
      </c>
      <c r="K60" s="2" t="s">
        <v>353</v>
      </c>
      <c r="L60" s="2"/>
      <c r="M60" s="45" t="str">
        <f t="shared" si="1"/>
        <v>cdt:ucumunit</v>
      </c>
      <c r="N60" s="45" t="str">
        <f t="shared" si="3"/>
        <v/>
      </c>
      <c r="O60" s="45" t="str">
        <f t="shared" si="4"/>
        <v/>
      </c>
      <c r="P60" s="8"/>
      <c r="Q60" s="8"/>
      <c r="T60" t="str">
        <f t="shared" si="2"/>
        <v/>
      </c>
    </row>
    <row r="61" ht="51">
      <c r="A61" s="2" t="str">
        <f>CONCATENATE(Préfixes!$B$3,":P",ROW(A61))</f>
        <v>med:P61</v>
      </c>
      <c r="B61" s="2" t="s">
        <v>330</v>
      </c>
      <c r="C61" s="2" t="s">
        <v>96</v>
      </c>
      <c r="D61" s="2"/>
      <c r="E61" s="8" t="s">
        <v>331</v>
      </c>
      <c r="F61" s="8" t="s">
        <v>373</v>
      </c>
      <c r="G61" s="8" t="s">
        <v>374</v>
      </c>
      <c r="H61" s="48"/>
      <c r="I61" s="49">
        <v>1</v>
      </c>
      <c r="J61" s="2" t="s">
        <v>58</v>
      </c>
      <c r="K61" s="64" t="s">
        <v>127</v>
      </c>
      <c r="L61" s="64"/>
      <c r="M61" s="45" t="str">
        <f t="shared" si="1"/>
        <v/>
      </c>
      <c r="N61" s="45" t="str">
        <f t="shared" si="3"/>
        <v>med:UniteDePresentation</v>
      </c>
      <c r="O61" s="45" t="str">
        <f t="shared" si="4"/>
        <v/>
      </c>
      <c r="P61" s="8"/>
      <c r="Q61" s="8"/>
      <c r="T61" t="str">
        <f t="shared" si="2"/>
        <v/>
      </c>
    </row>
    <row r="62" ht="16.5">
      <c r="A62" s="61"/>
      <c r="B62" s="61" t="s">
        <v>375</v>
      </c>
      <c r="C62" s="61"/>
      <c r="D62" s="61"/>
      <c r="E62" s="61"/>
      <c r="F62" s="61"/>
      <c r="G62" s="61"/>
      <c r="H62" s="62"/>
      <c r="I62" s="63"/>
      <c r="J62" s="61"/>
      <c r="K62" s="61"/>
      <c r="L62" s="61"/>
      <c r="M62" s="61"/>
      <c r="N62" s="61"/>
      <c r="O62" s="61"/>
      <c r="P62" s="61"/>
      <c r="Q62" s="61"/>
      <c r="R62" s="61"/>
      <c r="S62" s="61"/>
      <c r="T62" s="61"/>
      <c r="U62" s="61"/>
      <c r="V62" s="61"/>
      <c r="W62" s="61"/>
      <c r="X62" s="61"/>
      <c r="Y62" s="61"/>
      <c r="Z62" s="61"/>
      <c r="AA62" s="61"/>
      <c r="AB62" s="61"/>
      <c r="AC62" s="61"/>
      <c r="AD62" s="61"/>
      <c r="AE62" s="61"/>
      <c r="AF62" s="61"/>
    </row>
    <row r="63" ht="63.75">
      <c r="A63" s="2" t="str">
        <f>CONCATENATE(Préfixes!$B$3,":P",ROW(A63))</f>
        <v>med:P63</v>
      </c>
      <c r="B63" s="2" t="s">
        <v>265</v>
      </c>
      <c r="C63" s="2" t="s">
        <v>91</v>
      </c>
      <c r="D63" s="2"/>
      <c r="E63" s="8" t="s">
        <v>340</v>
      </c>
      <c r="F63" s="8" t="s">
        <v>376</v>
      </c>
      <c r="G63" s="8" t="s">
        <v>342</v>
      </c>
      <c r="H63" s="48">
        <v>1</v>
      </c>
      <c r="I63" s="49">
        <v>1</v>
      </c>
      <c r="J63" s="2" t="s">
        <v>268</v>
      </c>
      <c r="K63" s="2" t="s">
        <v>269</v>
      </c>
      <c r="L63" s="2"/>
      <c r="M63" s="57" t="str">
        <f t="shared" si="1"/>
        <v>rdf:langString</v>
      </c>
      <c r="N63" s="45" t="str">
        <f t="shared" si="3"/>
        <v/>
      </c>
      <c r="O63" s="45" t="str">
        <f t="shared" si="4"/>
        <v/>
      </c>
      <c r="P63" s="8" t="s">
        <v>270</v>
      </c>
      <c r="Q63" s="8"/>
      <c r="T63" t="str">
        <f t="shared" si="2"/>
        <v/>
      </c>
    </row>
    <row r="64" ht="12.75">
      <c r="A64" s="2" t="str">
        <f>CONCATENATE(Préfixes!$B$3,":P",ROW(A64))</f>
        <v>med:P64</v>
      </c>
      <c r="B64" s="2" t="s">
        <v>343</v>
      </c>
      <c r="C64" s="2" t="s">
        <v>91</v>
      </c>
      <c r="D64" s="2"/>
      <c r="E64" s="8" t="s">
        <v>344</v>
      </c>
      <c r="F64" s="8" t="s">
        <v>345</v>
      </c>
      <c r="G64" s="8"/>
      <c r="H64" s="48">
        <v>1</v>
      </c>
      <c r="I64" s="49">
        <v>1</v>
      </c>
      <c r="J64" s="2" t="s">
        <v>58</v>
      </c>
      <c r="K64" s="2" t="s">
        <v>116</v>
      </c>
      <c r="L64" s="2"/>
      <c r="M64" s="57" t="str">
        <f t="shared" si="1"/>
        <v/>
      </c>
      <c r="N64" s="45" t="str">
        <f t="shared" si="3"/>
        <v>med:Substance</v>
      </c>
      <c r="O64" s="45" t="str">
        <f t="shared" si="4"/>
        <v/>
      </c>
      <c r="P64" s="8"/>
      <c r="Q64" s="8"/>
      <c r="T64" t="str">
        <f t="shared" si="2"/>
        <v/>
      </c>
    </row>
    <row r="65" ht="51">
      <c r="A65" s="2" t="str">
        <f>CONCATENATE(Préfixes!$B$3,":P",ROW(A65))</f>
        <v>med:P65</v>
      </c>
      <c r="B65" s="2" t="s">
        <v>346</v>
      </c>
      <c r="C65" s="2" t="s">
        <v>91</v>
      </c>
      <c r="D65" s="2"/>
      <c r="E65" s="8" t="s">
        <v>377</v>
      </c>
      <c r="F65" s="8" t="s">
        <v>378</v>
      </c>
      <c r="G65" s="8"/>
      <c r="H65" s="48">
        <v>1</v>
      </c>
      <c r="I65" s="49">
        <v>1</v>
      </c>
      <c r="J65" s="2" t="s">
        <v>268</v>
      </c>
      <c r="K65" s="2" t="s">
        <v>349</v>
      </c>
      <c r="L65" s="2"/>
      <c r="M65" s="57" t="str">
        <f t="shared" si="1"/>
        <v>xsd:decimal</v>
      </c>
      <c r="N65" s="45" t="str">
        <f t="shared" si="3"/>
        <v/>
      </c>
      <c r="O65" s="45" t="str">
        <f t="shared" si="4"/>
        <v/>
      </c>
      <c r="P65" s="8"/>
      <c r="Q65" s="8"/>
      <c r="T65" t="str">
        <f t="shared" si="2"/>
        <v/>
      </c>
    </row>
    <row r="66" ht="51">
      <c r="A66" s="2" t="str">
        <f>CONCATENATE(Préfixes!$B$3,":P",ROW(A66))</f>
        <v>med:P66</v>
      </c>
      <c r="B66" s="2" t="s">
        <v>354</v>
      </c>
      <c r="C66" s="2" t="s">
        <v>91</v>
      </c>
      <c r="D66" s="2"/>
      <c r="E66" s="8" t="s">
        <v>379</v>
      </c>
      <c r="F66" s="8" t="s">
        <v>380</v>
      </c>
      <c r="G66" s="8"/>
      <c r="H66" s="48"/>
      <c r="I66" s="49">
        <v>1</v>
      </c>
      <c r="J66" s="2" t="s">
        <v>268</v>
      </c>
      <c r="K66" s="2" t="s">
        <v>349</v>
      </c>
      <c r="L66" s="2"/>
      <c r="M66" s="45" t="str">
        <f t="shared" si="1"/>
        <v>xsd:decimal</v>
      </c>
      <c r="N66" s="45" t="str">
        <f t="shared" si="3"/>
        <v/>
      </c>
      <c r="O66" s="45"/>
      <c r="P66" s="8"/>
      <c r="Q66" s="8"/>
      <c r="T66" t="str">
        <f t="shared" si="2"/>
        <v/>
      </c>
    </row>
    <row r="67" ht="51">
      <c r="A67" s="2" t="str">
        <f>CONCATENATE(Préfixes!$B$3,":P",ROW(A67))</f>
        <v>med:P67</v>
      </c>
      <c r="B67" s="2" t="s">
        <v>357</v>
      </c>
      <c r="C67" s="2" t="s">
        <v>91</v>
      </c>
      <c r="D67" s="2"/>
      <c r="E67" s="8" t="s">
        <v>381</v>
      </c>
      <c r="F67" s="8" t="s">
        <v>359</v>
      </c>
      <c r="G67" s="8"/>
      <c r="H67" s="48"/>
      <c r="I67" s="49">
        <v>1</v>
      </c>
      <c r="J67" s="2" t="s">
        <v>268</v>
      </c>
      <c r="K67" s="2" t="s">
        <v>353</v>
      </c>
      <c r="L67" s="2"/>
      <c r="M67" s="45" t="str">
        <f t="shared" si="1"/>
        <v>cdt:ucumunit</v>
      </c>
      <c r="N67" s="45" t="str">
        <f t="shared" si="3"/>
        <v/>
      </c>
      <c r="O67" s="45"/>
      <c r="P67" s="8"/>
      <c r="Q67" s="8"/>
      <c r="T67" t="str">
        <f t="shared" si="2"/>
        <v/>
      </c>
    </row>
    <row r="68" ht="51">
      <c r="A68" s="2" t="str">
        <f>CONCATENATE(Préfixes!$B$3,":P",ROW(A68))</f>
        <v>med:P68</v>
      </c>
      <c r="B68" s="2" t="s">
        <v>360</v>
      </c>
      <c r="C68" s="2" t="s">
        <v>91</v>
      </c>
      <c r="D68" s="2"/>
      <c r="E68" s="8" t="s">
        <v>382</v>
      </c>
      <c r="F68" s="8" t="s">
        <v>383</v>
      </c>
      <c r="G68" s="8"/>
      <c r="H68" s="48"/>
      <c r="I68" s="49">
        <v>1</v>
      </c>
      <c r="J68" s="2" t="s">
        <v>268</v>
      </c>
      <c r="K68" s="2" t="s">
        <v>349</v>
      </c>
      <c r="L68" s="2"/>
      <c r="M68" s="45" t="str">
        <f t="shared" si="1"/>
        <v>xsd:decimal</v>
      </c>
      <c r="N68" s="45" t="str">
        <f t="shared" si="3"/>
        <v/>
      </c>
      <c r="O68" s="45"/>
      <c r="P68" s="8"/>
      <c r="Q68" s="8"/>
      <c r="T68" t="str">
        <f t="shared" si="2"/>
        <v/>
      </c>
    </row>
    <row r="69" ht="51">
      <c r="A69" s="2" t="str">
        <f>CONCATENATE(Préfixes!$B$3,":P",ROW(A69))</f>
        <v>med:P69</v>
      </c>
      <c r="B69" s="2" t="s">
        <v>363</v>
      </c>
      <c r="C69" s="2" t="s">
        <v>91</v>
      </c>
      <c r="D69" s="2"/>
      <c r="E69" s="8" t="s">
        <v>384</v>
      </c>
      <c r="F69" s="8" t="s">
        <v>365</v>
      </c>
      <c r="G69" s="8"/>
      <c r="H69" s="48"/>
      <c r="I69" s="49">
        <v>1</v>
      </c>
      <c r="J69" s="2" t="s">
        <v>268</v>
      </c>
      <c r="K69" s="2" t="s">
        <v>353</v>
      </c>
      <c r="L69" s="2"/>
      <c r="M69" s="45" t="str">
        <f t="shared" si="1"/>
        <v>cdt:ucumunit</v>
      </c>
      <c r="N69" s="45" t="str">
        <f t="shared" si="3"/>
        <v/>
      </c>
      <c r="O69" s="45"/>
      <c r="P69" s="8"/>
      <c r="Q69" s="8"/>
      <c r="T69" t="str">
        <f t="shared" si="2"/>
        <v/>
      </c>
    </row>
    <row r="70" ht="63.75">
      <c r="A70" s="2" t="str">
        <f>CONCATENATE(Préfixes!$B$3,":P",ROW(A70))</f>
        <v>med:P70</v>
      </c>
      <c r="B70" s="2" t="s">
        <v>350</v>
      </c>
      <c r="C70" s="2" t="s">
        <v>91</v>
      </c>
      <c r="D70" s="2"/>
      <c r="E70" s="8" t="s">
        <v>385</v>
      </c>
      <c r="F70" s="8" t="s">
        <v>386</v>
      </c>
      <c r="G70" s="8"/>
      <c r="H70" s="48">
        <v>1</v>
      </c>
      <c r="I70" s="49">
        <v>1</v>
      </c>
      <c r="J70" s="2" t="s">
        <v>268</v>
      </c>
      <c r="K70" s="2" t="s">
        <v>353</v>
      </c>
      <c r="L70" s="2"/>
      <c r="M70" s="57" t="str">
        <f t="shared" si="1"/>
        <v>cdt:ucumunit</v>
      </c>
      <c r="N70" s="45" t="str">
        <f t="shared" si="3"/>
        <v/>
      </c>
      <c r="O70" s="45" t="str">
        <f t="shared" si="4"/>
        <v/>
      </c>
      <c r="P70" s="8"/>
      <c r="Q70" s="8"/>
      <c r="T70" t="str">
        <f t="shared" si="2"/>
        <v/>
      </c>
    </row>
    <row r="71" ht="140.25">
      <c r="A71" s="2" t="str">
        <f>CONCATENATE(Préfixes!$B$3,":P",ROW(A71))</f>
        <v>med:P71</v>
      </c>
      <c r="B71" s="2" t="s">
        <v>387</v>
      </c>
      <c r="C71" s="2" t="s">
        <v>91</v>
      </c>
      <c r="D71" s="2"/>
      <c r="E71" s="8" t="s">
        <v>388</v>
      </c>
      <c r="F71" s="8" t="s">
        <v>389</v>
      </c>
      <c r="G71" s="8"/>
      <c r="H71" s="48"/>
      <c r="I71" s="49">
        <v>1</v>
      </c>
      <c r="J71" s="2" t="s">
        <v>268</v>
      </c>
      <c r="K71" s="2" t="s">
        <v>319</v>
      </c>
      <c r="L71" s="2"/>
      <c r="M71" s="57" t="str">
        <f t="shared" si="1"/>
        <v>xsd:boolean</v>
      </c>
      <c r="N71" s="45" t="str">
        <f t="shared" si="3"/>
        <v/>
      </c>
      <c r="O71" s="45" t="str">
        <f t="shared" si="4"/>
        <v/>
      </c>
      <c r="P71" s="8"/>
      <c r="Q71" s="8"/>
      <c r="T71" t="str">
        <f t="shared" si="2"/>
        <v/>
      </c>
    </row>
    <row r="72" ht="18">
      <c r="A72" s="61"/>
      <c r="B72" s="61" t="s">
        <v>390</v>
      </c>
      <c r="C72" s="61"/>
      <c r="D72" s="61"/>
      <c r="E72" s="61"/>
      <c r="F72" s="61"/>
      <c r="G72" s="61"/>
      <c r="H72" s="62"/>
      <c r="I72" s="63"/>
      <c r="J72" s="61"/>
      <c r="K72" s="61"/>
      <c r="L72" s="61"/>
      <c r="M72" s="61"/>
      <c r="N72" s="61"/>
      <c r="O72" s="61"/>
      <c r="P72" s="61"/>
      <c r="Q72" s="61"/>
      <c r="R72" s="61"/>
      <c r="S72" s="61"/>
      <c r="T72" s="61"/>
      <c r="U72" s="61"/>
      <c r="V72" s="61"/>
      <c r="W72" s="61"/>
      <c r="X72" s="61"/>
      <c r="Y72" s="61"/>
      <c r="Z72" s="61"/>
      <c r="AA72" s="61"/>
      <c r="AB72" s="61"/>
      <c r="AC72" s="61"/>
      <c r="AD72" s="61"/>
      <c r="AE72" s="61"/>
      <c r="AF72" s="61"/>
    </row>
    <row r="73" ht="25.5">
      <c r="A73" s="2" t="str">
        <f>CONCATENATE(Préfixes!$B$3,":P",ROW(A73))</f>
        <v>med:P73</v>
      </c>
      <c r="B73" s="2" t="s">
        <v>265</v>
      </c>
      <c r="C73" s="2" t="s">
        <v>100</v>
      </c>
      <c r="D73" s="2"/>
      <c r="E73" s="8" t="s">
        <v>391</v>
      </c>
      <c r="F73" s="8" t="s">
        <v>266</v>
      </c>
      <c r="G73" s="8" t="s">
        <v>342</v>
      </c>
      <c r="H73" s="48">
        <v>1</v>
      </c>
      <c r="I73" s="49">
        <v>1</v>
      </c>
      <c r="J73" s="2" t="s">
        <v>268</v>
      </c>
      <c r="K73" s="2" t="s">
        <v>269</v>
      </c>
      <c r="L73" s="2"/>
      <c r="M73" s="57" t="str">
        <f t="shared" si="1"/>
        <v>rdf:langString</v>
      </c>
      <c r="N73" s="45" t="str">
        <f t="shared" si="3"/>
        <v/>
      </c>
      <c r="O73" s="45" t="str">
        <f t="shared" si="4"/>
        <v/>
      </c>
      <c r="P73" s="8" t="s">
        <v>270</v>
      </c>
      <c r="Q73" s="8"/>
      <c r="T73" t="str">
        <f t="shared" si="2"/>
        <v/>
      </c>
    </row>
    <row r="74" ht="25.5">
      <c r="A74" s="2" t="str">
        <f>CONCATENATE(Préfixes!$B$3,":P",ROW(A74))</f>
        <v>med:P74</v>
      </c>
      <c r="B74" s="2" t="s">
        <v>392</v>
      </c>
      <c r="C74" s="2" t="s">
        <v>100</v>
      </c>
      <c r="D74" s="2"/>
      <c r="E74" s="8" t="s">
        <v>393</v>
      </c>
      <c r="F74" s="8" t="s">
        <v>394</v>
      </c>
      <c r="G74" s="8"/>
      <c r="H74" s="48">
        <v>1</v>
      </c>
      <c r="I74" s="49">
        <v>1</v>
      </c>
      <c r="J74" s="2" t="s">
        <v>268</v>
      </c>
      <c r="K74" s="2" t="s">
        <v>353</v>
      </c>
      <c r="L74" s="2"/>
      <c r="M74" s="57" t="str">
        <f t="shared" si="1"/>
        <v>cdt:ucumunit</v>
      </c>
      <c r="N74" s="45" t="str">
        <f t="shared" si="3"/>
        <v/>
      </c>
      <c r="O74" s="45" t="str">
        <f t="shared" si="4"/>
        <v/>
      </c>
      <c r="P74" s="8"/>
      <c r="Q74" s="8"/>
      <c r="T74" t="str">
        <f t="shared" si="2"/>
        <v/>
      </c>
    </row>
    <row r="75" ht="51">
      <c r="A75" s="2" t="str">
        <f>CONCATENATE(Préfixes!$B$3,":P",ROW(A75))</f>
        <v>med:P75</v>
      </c>
      <c r="B75" s="2" t="s">
        <v>395</v>
      </c>
      <c r="C75" s="2" t="s">
        <v>100</v>
      </c>
      <c r="D75" s="2"/>
      <c r="E75" s="8" t="s">
        <v>396</v>
      </c>
      <c r="F75" s="8" t="s">
        <v>397</v>
      </c>
      <c r="G75" s="8"/>
      <c r="H75" s="48"/>
      <c r="I75" s="49">
        <v>1</v>
      </c>
      <c r="J75" s="2" t="s">
        <v>268</v>
      </c>
      <c r="K75" s="2" t="s">
        <v>349</v>
      </c>
      <c r="L75" s="2"/>
      <c r="M75" s="57" t="str">
        <f t="shared" ref="M75:M100" si="5">IF(K75&lt;&gt;"",IF(OR(LEFT(K75,3)="rdf",LEFT(K75,3)="xsd",LEFT(K75,3)="cdt"),K75,""),"")</f>
        <v>xsd:decimal</v>
      </c>
      <c r="N75" s="45" t="str">
        <f t="shared" si="3"/>
        <v/>
      </c>
      <c r="O75" s="45" t="str">
        <f t="shared" si="4"/>
        <v/>
      </c>
      <c r="P75" s="8"/>
      <c r="Q75" s="8"/>
      <c r="T75" t="str">
        <f t="shared" ref="T75:T138" si="6">IF(D75=TRUE,"#EAF1DD","")</f>
        <v/>
      </c>
    </row>
    <row r="76" ht="51">
      <c r="A76" s="2" t="str">
        <f>CONCATENATE(Préfixes!$B$3,":P",ROW(A76))</f>
        <v>med:P76</v>
      </c>
      <c r="B76" s="2" t="s">
        <v>398</v>
      </c>
      <c r="C76" s="2" t="s">
        <v>100</v>
      </c>
      <c r="D76" s="2"/>
      <c r="E76" s="8" t="s">
        <v>399</v>
      </c>
      <c r="F76" s="8" t="s">
        <v>400</v>
      </c>
      <c r="G76" s="8"/>
      <c r="H76" s="48"/>
      <c r="I76" s="49">
        <v>1</v>
      </c>
      <c r="J76" s="2" t="s">
        <v>58</v>
      </c>
      <c r="M76" s="57" t="str">
        <f t="shared" si="5"/>
        <v/>
      </c>
      <c r="N76" s="45" t="str">
        <f t="shared" ref="N76:N100" si="7">IF(K76&lt;&gt;"",IF(AND(M76="",LEFT(K76,13)&lt;&gt;"med:BlankNode"),K76,""),"")</f>
        <v/>
      </c>
      <c r="O76" s="45" t="str">
        <f t="shared" ref="O76:O100" si="8">IF(K76&lt;&gt;"",IF(AND(M76="",LEFT(K76,13)="med:BlankNode"),K76,""),"")</f>
        <v/>
      </c>
      <c r="P76" s="8"/>
      <c r="Q76" s="8"/>
      <c r="T76" t="str">
        <f t="shared" si="6"/>
        <v/>
      </c>
    </row>
    <row r="77" ht="18">
      <c r="A77" s="65"/>
      <c r="B77" s="65" t="s">
        <v>401</v>
      </c>
      <c r="C77" s="65"/>
      <c r="D77" s="65"/>
      <c r="E77" s="65"/>
      <c r="F77" s="65"/>
      <c r="G77" s="65"/>
      <c r="H77" s="66"/>
      <c r="I77" s="67"/>
      <c r="J77" s="65"/>
      <c r="K77" s="65"/>
      <c r="L77" s="65"/>
      <c r="M77" s="65"/>
      <c r="N77" s="65"/>
      <c r="O77" s="65"/>
      <c r="P77" s="65"/>
      <c r="Q77" s="65"/>
      <c r="R77" s="65"/>
      <c r="S77" s="65"/>
      <c r="T77" s="65"/>
      <c r="U77" s="65"/>
      <c r="V77" s="65"/>
      <c r="W77" s="65"/>
      <c r="X77" s="65"/>
      <c r="Y77" s="65"/>
      <c r="Z77" s="65"/>
      <c r="AA77" s="65"/>
      <c r="AB77" s="65"/>
      <c r="AC77" s="65"/>
      <c r="AD77" s="65"/>
      <c r="AE77" s="65"/>
      <c r="AF77" s="65"/>
    </row>
    <row r="78" ht="12.75">
      <c r="A78" s="8" t="str">
        <f>CONCATENATE(Préfixes!$B$3,":P",ROW(A78))</f>
        <v>med:P78</v>
      </c>
      <c r="B78" s="8" t="s">
        <v>402</v>
      </c>
      <c r="C78" s="8" t="s">
        <v>51</v>
      </c>
      <c r="D78" s="8" t="b">
        <v>1</v>
      </c>
      <c r="E78" s="8" t="s">
        <v>403</v>
      </c>
      <c r="F78" s="8" t="s">
        <v>404</v>
      </c>
      <c r="G78" s="8"/>
      <c r="H78" s="68">
        <v>1</v>
      </c>
      <c r="I78" s="69">
        <v>1</v>
      </c>
      <c r="J78" s="8" t="s">
        <v>268</v>
      </c>
      <c r="K78" s="8" t="s">
        <v>264</v>
      </c>
      <c r="L78" s="8"/>
      <c r="M78" s="57" t="str">
        <f t="shared" si="5"/>
        <v>xsd:string</v>
      </c>
      <c r="N78" s="45" t="str">
        <f t="shared" si="7"/>
        <v/>
      </c>
      <c r="O78" s="45" t="str">
        <f t="shared" si="8"/>
        <v/>
      </c>
      <c r="P78" s="8"/>
      <c r="Q78" s="8"/>
      <c r="R78" s="8"/>
      <c r="S78" s="8"/>
      <c r="T78" s="8" t="str">
        <f t="shared" si="6"/>
        <v>#EAF1DD</v>
      </c>
      <c r="U78" s="8"/>
      <c r="V78" s="8"/>
      <c r="W78" s="8"/>
      <c r="X78" s="8"/>
      <c r="Y78" s="8"/>
      <c r="Z78" s="8"/>
      <c r="AA78" s="8"/>
      <c r="AB78" s="8"/>
      <c r="AC78" s="8"/>
      <c r="AD78" s="8"/>
      <c r="AE78" s="8"/>
      <c r="AF78" s="8"/>
    </row>
    <row r="79" ht="12.75">
      <c r="A79" s="8" t="str">
        <f>CONCATENATE(Préfixes!$B$3,":P",ROW(A79))</f>
        <v>med:P79</v>
      </c>
      <c r="B79" s="8" t="s">
        <v>265</v>
      </c>
      <c r="C79" s="8" t="s">
        <v>51</v>
      </c>
      <c r="D79" s="8" t="b">
        <v>1</v>
      </c>
      <c r="E79" s="8" t="s">
        <v>405</v>
      </c>
      <c r="F79" s="8" t="s">
        <v>406</v>
      </c>
      <c r="G79" s="8"/>
      <c r="H79" s="68">
        <v>1</v>
      </c>
      <c r="I79" s="69">
        <v>1</v>
      </c>
      <c r="J79" s="8" t="s">
        <v>268</v>
      </c>
      <c r="K79" s="8" t="s">
        <v>269</v>
      </c>
      <c r="L79" s="8"/>
      <c r="M79" s="57" t="str">
        <f t="shared" si="5"/>
        <v>rdf:langString</v>
      </c>
      <c r="N79" s="45" t="str">
        <f t="shared" si="7"/>
        <v/>
      </c>
      <c r="O79" s="45" t="str">
        <f t="shared" si="8"/>
        <v/>
      </c>
      <c r="P79" s="8" t="s">
        <v>270</v>
      </c>
      <c r="Q79" s="8"/>
      <c r="R79" s="8" t="s">
        <v>271</v>
      </c>
      <c r="S79" s="8"/>
      <c r="T79" s="8" t="str">
        <f t="shared" si="6"/>
        <v>#EAF1DD</v>
      </c>
      <c r="U79" s="8"/>
      <c r="V79" s="8"/>
      <c r="W79" s="8"/>
      <c r="X79" s="8"/>
      <c r="Y79" s="8"/>
      <c r="Z79" s="8"/>
      <c r="AA79" s="8"/>
      <c r="AB79" s="8"/>
      <c r="AC79" s="8"/>
      <c r="AD79" s="8"/>
      <c r="AE79" s="8"/>
      <c r="AF79" s="8"/>
    </row>
    <row r="80" ht="31.5" customHeight="1">
      <c r="A80" s="8" t="str">
        <f>CONCATENATE(Préfixes!$B$3,":P",ROW(A80))</f>
        <v>med:P80</v>
      </c>
      <c r="B80" s="8" t="s">
        <v>316</v>
      </c>
      <c r="C80" s="8" t="s">
        <v>51</v>
      </c>
      <c r="D80" s="8" t="b">
        <v>1</v>
      </c>
      <c r="E80" s="8" t="s">
        <v>317</v>
      </c>
      <c r="F80" s="8" t="s">
        <v>407</v>
      </c>
      <c r="G80" s="8"/>
      <c r="H80" s="68"/>
      <c r="I80" s="69">
        <v>1</v>
      </c>
      <c r="J80" s="8" t="s">
        <v>268</v>
      </c>
      <c r="K80" s="8" t="s">
        <v>319</v>
      </c>
      <c r="L80" s="8"/>
      <c r="M80" s="57" t="str">
        <f t="shared" si="5"/>
        <v>xsd:boolean</v>
      </c>
      <c r="N80" s="45" t="str">
        <f t="shared" si="7"/>
        <v/>
      </c>
      <c r="O80" s="45" t="str">
        <f t="shared" si="8"/>
        <v/>
      </c>
      <c r="P80" s="8"/>
      <c r="Q80" s="8"/>
      <c r="R80" s="8"/>
      <c r="S80" s="8"/>
      <c r="T80" s="8" t="str">
        <f t="shared" si="6"/>
        <v>#EAF1DD</v>
      </c>
      <c r="U80" s="8"/>
      <c r="V80" s="8"/>
      <c r="W80" s="8"/>
      <c r="X80" s="8"/>
      <c r="Y80" s="8"/>
      <c r="Z80" s="8"/>
      <c r="AA80" s="8"/>
      <c r="AB80" s="8"/>
      <c r="AC80" s="8"/>
      <c r="AD80" s="8"/>
      <c r="AE80" s="8"/>
      <c r="AF80" s="8"/>
    </row>
    <row r="81" ht="31.5" customHeight="1">
      <c r="A81" s="8" t="str">
        <f>CONCATENATE(Préfixes!$B$3,":P",ROW(A81))</f>
        <v>med:P81</v>
      </c>
      <c r="B81" s="8" t="s">
        <v>309</v>
      </c>
      <c r="C81" s="8" t="s">
        <v>51</v>
      </c>
      <c r="D81" s="8" t="b">
        <v>1</v>
      </c>
      <c r="E81" s="8" t="s">
        <v>408</v>
      </c>
      <c r="F81" s="8" t="s">
        <v>409</v>
      </c>
      <c r="G81" s="8"/>
      <c r="H81" s="68">
        <v>1</v>
      </c>
      <c r="I81" s="69">
        <v>1</v>
      </c>
      <c r="J81" s="8" t="s">
        <v>268</v>
      </c>
      <c r="K81" s="8" t="s">
        <v>312</v>
      </c>
      <c r="L81" s="8"/>
      <c r="M81" s="57" t="str">
        <f t="shared" si="5"/>
        <v>xsd:date</v>
      </c>
      <c r="N81" s="45" t="str">
        <f t="shared" si="7"/>
        <v/>
      </c>
      <c r="O81" s="45" t="str">
        <f t="shared" si="8"/>
        <v/>
      </c>
      <c r="P81" s="8"/>
      <c r="Q81" s="8"/>
      <c r="R81" s="8"/>
      <c r="S81" s="8"/>
      <c r="T81" s="8" t="str">
        <f t="shared" si="6"/>
        <v>#EAF1DD</v>
      </c>
      <c r="U81" s="8"/>
      <c r="V81" s="8"/>
      <c r="W81" s="8"/>
      <c r="X81" s="8"/>
      <c r="Y81" s="8"/>
      <c r="Z81" s="8"/>
      <c r="AA81" s="8"/>
      <c r="AB81" s="8"/>
      <c r="AC81" s="8"/>
      <c r="AD81" s="8"/>
      <c r="AE81" s="8"/>
      <c r="AF81" s="8"/>
    </row>
    <row r="82" ht="75" customHeight="1">
      <c r="A82" s="8" t="str">
        <f>CONCATENATE(Préfixes!$B$3,":P",ROW(A82))</f>
        <v>med:P82</v>
      </c>
      <c r="B82" s="8" t="s">
        <v>313</v>
      </c>
      <c r="C82" s="8" t="s">
        <v>51</v>
      </c>
      <c r="D82" s="8" t="b">
        <v>1</v>
      </c>
      <c r="E82" s="8" t="s">
        <v>410</v>
      </c>
      <c r="F82" s="8" t="s">
        <v>411</v>
      </c>
      <c r="G82" s="8"/>
      <c r="H82" s="68"/>
      <c r="I82" s="69">
        <v>1</v>
      </c>
      <c r="J82" s="8" t="s">
        <v>268</v>
      </c>
      <c r="K82" s="8" t="s">
        <v>312</v>
      </c>
      <c r="L82" s="8"/>
      <c r="M82" s="57" t="str">
        <f t="shared" si="5"/>
        <v>xsd:date</v>
      </c>
      <c r="N82" s="45" t="str">
        <f t="shared" si="7"/>
        <v/>
      </c>
      <c r="O82" s="45" t="str">
        <f t="shared" si="8"/>
        <v/>
      </c>
      <c r="P82" s="8"/>
      <c r="Q82" s="8"/>
      <c r="R82" s="8"/>
      <c r="S82" s="8"/>
      <c r="T82" s="8" t="str">
        <f t="shared" si="6"/>
        <v>#EAF1DD</v>
      </c>
      <c r="U82" s="8"/>
      <c r="V82" s="8"/>
      <c r="W82" s="8"/>
      <c r="X82" s="8"/>
      <c r="Y82" s="8"/>
      <c r="Z82" s="8"/>
      <c r="AA82" s="8"/>
      <c r="AB82" s="8"/>
      <c r="AC82" s="8"/>
      <c r="AD82" s="8"/>
      <c r="AE82" s="8"/>
      <c r="AF82" s="8"/>
    </row>
    <row r="83" ht="127.5">
      <c r="A83" s="8" t="str">
        <f>CONCATENATE(Préfixes!$B$3,":P",ROW(A83))</f>
        <v>med:P83</v>
      </c>
      <c r="B83" s="8" t="s">
        <v>412</v>
      </c>
      <c r="C83" s="8" t="s">
        <v>51</v>
      </c>
      <c r="D83" s="8" t="b">
        <v>1</v>
      </c>
      <c r="E83" s="8" t="s">
        <v>413</v>
      </c>
      <c r="F83" s="8" t="s">
        <v>414</v>
      </c>
      <c r="G83" s="8"/>
      <c r="H83" s="68"/>
      <c r="I83" s="69">
        <v>1</v>
      </c>
      <c r="J83" s="8" t="s">
        <v>58</v>
      </c>
      <c r="K83" s="70"/>
      <c r="L83" s="70"/>
      <c r="M83" s="57" t="str">
        <f t="shared" si="5"/>
        <v/>
      </c>
      <c r="N83" s="45" t="str">
        <f t="shared" si="7"/>
        <v/>
      </c>
      <c r="O83" s="45" t="str">
        <f t="shared" si="8"/>
        <v/>
      </c>
      <c r="P83" s="8"/>
      <c r="Q83" s="8"/>
      <c r="R83" s="8"/>
      <c r="S83" s="8"/>
      <c r="T83" s="8" t="str">
        <f t="shared" si="6"/>
        <v>#EAF1DD</v>
      </c>
      <c r="U83" s="8"/>
      <c r="V83" s="8"/>
      <c r="W83" s="8"/>
      <c r="X83" s="8"/>
      <c r="Y83" s="8"/>
      <c r="Z83" s="8"/>
      <c r="AA83" s="8"/>
      <c r="AB83" s="8"/>
      <c r="AC83" s="8"/>
      <c r="AD83" s="8"/>
      <c r="AE83" s="8"/>
      <c r="AF83" s="8"/>
    </row>
    <row r="84" ht="63.75">
      <c r="A84" s="8" t="str">
        <f>CONCATENATE(Préfixes!$B$3,":P",ROW(A84))</f>
        <v>med:P84</v>
      </c>
      <c r="B84" s="8" t="s">
        <v>415</v>
      </c>
      <c r="C84" s="8" t="s">
        <v>51</v>
      </c>
      <c r="D84" s="8" t="b">
        <v>1</v>
      </c>
      <c r="E84" s="8" t="s">
        <v>416</v>
      </c>
      <c r="F84" s="8" t="s">
        <v>417</v>
      </c>
      <c r="G84" s="8"/>
      <c r="H84" s="68">
        <v>1</v>
      </c>
      <c r="I84" s="69">
        <v>1</v>
      </c>
      <c r="J84" s="8" t="s">
        <v>268</v>
      </c>
      <c r="K84" s="70" t="s">
        <v>264</v>
      </c>
      <c r="L84" s="70"/>
      <c r="M84" s="57" t="str">
        <f t="shared" si="5"/>
        <v>xsd:string</v>
      </c>
      <c r="N84" s="45" t="str">
        <f t="shared" si="7"/>
        <v/>
      </c>
      <c r="O84" s="45" t="str">
        <f t="shared" si="8"/>
        <v/>
      </c>
      <c r="P84" s="8"/>
      <c r="Q84" s="8"/>
      <c r="R84" s="8"/>
      <c r="S84" s="8"/>
      <c r="T84" s="8" t="str">
        <f t="shared" si="6"/>
        <v>#EAF1DD</v>
      </c>
      <c r="U84" s="8"/>
      <c r="V84" s="8"/>
      <c r="W84" s="8"/>
      <c r="X84" s="8"/>
      <c r="Y84" s="8"/>
      <c r="Z84" s="8"/>
      <c r="AA84" s="8"/>
      <c r="AB84" s="8"/>
      <c r="AC84" s="8"/>
      <c r="AD84" s="8"/>
      <c r="AE84" s="8"/>
      <c r="AF84" s="8"/>
    </row>
    <row r="85" ht="63.75">
      <c r="A85" s="8" t="str">
        <f>CONCATENATE(Préfixes!$B$3,":P",ROW(A85))</f>
        <v>med:P85</v>
      </c>
      <c r="B85" s="8" t="s">
        <v>418</v>
      </c>
      <c r="C85" s="8" t="s">
        <v>51</v>
      </c>
      <c r="D85" s="8" t="b">
        <v>1</v>
      </c>
      <c r="E85" s="8" t="s">
        <v>419</v>
      </c>
      <c r="F85" s="8" t="s">
        <v>420</v>
      </c>
      <c r="G85" s="8"/>
      <c r="H85" s="68">
        <v>1</v>
      </c>
      <c r="I85" s="69">
        <v>1</v>
      </c>
      <c r="J85" s="8" t="s">
        <v>268</v>
      </c>
      <c r="K85" s="70" t="s">
        <v>269</v>
      </c>
      <c r="L85" s="70"/>
      <c r="M85" s="57" t="str">
        <f t="shared" si="5"/>
        <v>rdf:langString</v>
      </c>
      <c r="N85" s="45" t="str">
        <f t="shared" si="7"/>
        <v/>
      </c>
      <c r="O85" s="45" t="str">
        <f t="shared" si="8"/>
        <v/>
      </c>
      <c r="P85" s="8"/>
      <c r="Q85" s="8"/>
      <c r="R85" s="8"/>
      <c r="S85" s="8"/>
      <c r="T85" s="8" t="str">
        <f t="shared" si="6"/>
        <v>#EAF1DD</v>
      </c>
      <c r="U85" s="8"/>
      <c r="V85" s="8"/>
      <c r="W85" s="8"/>
      <c r="X85" s="8"/>
      <c r="Y85" s="8"/>
      <c r="Z85" s="8"/>
      <c r="AA85" s="8"/>
      <c r="AB85" s="8"/>
      <c r="AC85" s="8"/>
      <c r="AD85" s="8"/>
      <c r="AE85" s="8"/>
      <c r="AF85" s="8"/>
    </row>
    <row r="86" ht="38.25">
      <c r="A86" s="8" t="str">
        <f>CONCATENATE(Préfixes!$B$3,":P",ROW(A86))</f>
        <v>med:P86</v>
      </c>
      <c r="B86" s="8" t="s">
        <v>421</v>
      </c>
      <c r="C86" s="8" t="s">
        <v>51</v>
      </c>
      <c r="D86" s="8" t="b">
        <v>1</v>
      </c>
      <c r="E86" s="8" t="s">
        <v>422</v>
      </c>
      <c r="F86" s="8" t="s">
        <v>423</v>
      </c>
      <c r="G86" s="8"/>
      <c r="H86" s="68"/>
      <c r="I86" s="69"/>
      <c r="J86" s="8" t="s">
        <v>58</v>
      </c>
      <c r="K86" s="8" t="s">
        <v>188</v>
      </c>
      <c r="L86" s="8"/>
      <c r="M86" s="57" t="str">
        <f t="shared" si="5"/>
        <v/>
      </c>
      <c r="N86" s="45" t="str">
        <f t="shared" si="7"/>
        <v>med:Evenement</v>
      </c>
      <c r="O86" s="45" t="str">
        <f t="shared" si="8"/>
        <v/>
      </c>
      <c r="P86" s="8"/>
      <c r="Q86" s="8"/>
      <c r="R86" s="8"/>
      <c r="S86" s="8"/>
      <c r="T86" s="8" t="str">
        <f t="shared" si="6"/>
        <v>#EAF1DD</v>
      </c>
      <c r="U86" s="8"/>
      <c r="V86" s="8"/>
      <c r="W86" s="8"/>
      <c r="X86" s="8"/>
      <c r="Y86" s="8"/>
      <c r="Z86" s="8"/>
      <c r="AA86" s="8"/>
      <c r="AB86" s="8"/>
      <c r="AC86" s="8"/>
      <c r="AD86" s="8"/>
      <c r="AE86" s="8"/>
      <c r="AF86" s="8"/>
    </row>
    <row r="87" ht="63.75">
      <c r="A87" s="8" t="str">
        <f>CONCATENATE(Préfixes!$B$3,":P",ROW(A87))</f>
        <v>med:P87</v>
      </c>
      <c r="B87" s="8" t="s">
        <v>424</v>
      </c>
      <c r="C87" s="8" t="s">
        <v>51</v>
      </c>
      <c r="D87" s="8" t="b">
        <v>1</v>
      </c>
      <c r="E87" s="8" t="s">
        <v>425</v>
      </c>
      <c r="F87" s="8" t="s">
        <v>426</v>
      </c>
      <c r="G87" s="8"/>
      <c r="H87" s="68">
        <v>1</v>
      </c>
      <c r="I87" s="69">
        <v>1</v>
      </c>
      <c r="J87" s="8" t="s">
        <v>58</v>
      </c>
      <c r="K87" s="8" t="s">
        <v>208</v>
      </c>
      <c r="L87" s="8"/>
      <c r="M87" s="57" t="str">
        <f t="shared" si="5"/>
        <v/>
      </c>
      <c r="N87" s="45" t="str">
        <f t="shared" si="7"/>
        <v>med:TypeProcedure</v>
      </c>
      <c r="O87" s="45" t="str">
        <f t="shared" si="8"/>
        <v/>
      </c>
      <c r="P87" s="8"/>
      <c r="Q87" s="8"/>
      <c r="R87" s="8"/>
      <c r="S87" s="8"/>
      <c r="T87" s="8" t="str">
        <f t="shared" si="6"/>
        <v>#EAF1DD</v>
      </c>
      <c r="U87" s="8"/>
      <c r="V87" s="8"/>
      <c r="W87" s="8"/>
      <c r="X87" s="8"/>
      <c r="Y87" s="8"/>
      <c r="Z87" s="8"/>
      <c r="AA87" s="8"/>
      <c r="AB87" s="8"/>
      <c r="AC87" s="8"/>
      <c r="AD87" s="8"/>
      <c r="AE87" s="8"/>
      <c r="AF87" s="8"/>
    </row>
    <row r="88" ht="63.75">
      <c r="A88" s="8" t="str">
        <f>CONCATENATE(Préfixes!$B$3,":P",ROW(A88))</f>
        <v>med:P88</v>
      </c>
      <c r="B88" s="8" t="s">
        <v>427</v>
      </c>
      <c r="C88" s="8" t="s">
        <v>51</v>
      </c>
      <c r="D88" s="8" t="b">
        <v>1</v>
      </c>
      <c r="E88" s="8" t="s">
        <v>428</v>
      </c>
      <c r="F88" s="8" t="s">
        <v>429</v>
      </c>
      <c r="G88" s="8"/>
      <c r="H88" s="68">
        <v>1</v>
      </c>
      <c r="I88" s="69">
        <v>1</v>
      </c>
      <c r="J88" s="8" t="s">
        <v>58</v>
      </c>
      <c r="K88" s="8" t="s">
        <v>212</v>
      </c>
      <c r="L88" s="8"/>
      <c r="M88" s="57" t="str">
        <f t="shared" si="5"/>
        <v/>
      </c>
      <c r="N88" s="45" t="str">
        <f t="shared" si="7"/>
        <v>med:StatutSpecialite</v>
      </c>
      <c r="O88" s="45" t="str">
        <f t="shared" si="8"/>
        <v/>
      </c>
      <c r="P88" s="8"/>
      <c r="Q88" s="8"/>
      <c r="R88" s="8"/>
      <c r="S88" s="8"/>
      <c r="T88" s="8" t="str">
        <f t="shared" si="6"/>
        <v>#EAF1DD</v>
      </c>
      <c r="U88" s="8"/>
      <c r="V88" s="8"/>
      <c r="W88" s="8"/>
      <c r="X88" s="8"/>
      <c r="Y88" s="8"/>
      <c r="Z88" s="8"/>
      <c r="AA88" s="8"/>
      <c r="AB88" s="8"/>
      <c r="AC88" s="8"/>
      <c r="AD88" s="8"/>
      <c r="AE88" s="8"/>
      <c r="AF88" s="8"/>
    </row>
    <row r="89" ht="25.5">
      <c r="A89" s="2" t="str">
        <f>CONCATENATE(Préfixes!$B$3,":P",ROW(A89))</f>
        <v>med:P89</v>
      </c>
      <c r="B89" s="2" t="s">
        <v>430</v>
      </c>
      <c r="C89" s="8" t="s">
        <v>51</v>
      </c>
      <c r="D89" s="8" t="b">
        <v>1</v>
      </c>
      <c r="E89" s="8" t="s">
        <v>431</v>
      </c>
      <c r="F89" s="8" t="s">
        <v>432</v>
      </c>
      <c r="G89" s="8"/>
      <c r="H89" s="48"/>
      <c r="I89" s="49"/>
      <c r="J89" s="2" t="s">
        <v>58</v>
      </c>
      <c r="K89" s="2" t="s">
        <v>78</v>
      </c>
      <c r="L89" s="2"/>
      <c r="M89" s="57" t="str">
        <f t="shared" si="5"/>
        <v/>
      </c>
      <c r="N89" s="45" t="str">
        <f t="shared" si="7"/>
        <v>med:Element</v>
      </c>
      <c r="O89" s="45" t="str">
        <f t="shared" si="8"/>
        <v/>
      </c>
      <c r="P89" s="8"/>
      <c r="Q89" s="8"/>
      <c r="T89" s="8" t="str">
        <f t="shared" si="6"/>
        <v>#EAF1DD</v>
      </c>
    </row>
    <row r="90" ht="127.5">
      <c r="A90" s="2" t="str">
        <f>CONCATENATE(Préfixes!$B$3,":P",ROW(A90))</f>
        <v>med:P90</v>
      </c>
      <c r="B90" s="2" t="s">
        <v>433</v>
      </c>
      <c r="C90" s="8" t="s">
        <v>51</v>
      </c>
      <c r="D90" s="8" t="b">
        <v>1</v>
      </c>
      <c r="E90" s="8" t="s">
        <v>434</v>
      </c>
      <c r="F90" s="8" t="s">
        <v>435</v>
      </c>
      <c r="G90" s="8"/>
      <c r="H90" s="48">
        <v>1</v>
      </c>
      <c r="I90" s="49"/>
      <c r="J90" s="2" t="s">
        <v>58</v>
      </c>
      <c r="K90" s="2" t="s">
        <v>116</v>
      </c>
      <c r="L90" s="2" t="s">
        <v>436</v>
      </c>
      <c r="M90" s="57" t="str">
        <f t="shared" si="5"/>
        <v/>
      </c>
      <c r="N90" s="45" t="str">
        <f t="shared" si="7"/>
        <v>med:Substance</v>
      </c>
      <c r="O90" s="45" t="str">
        <f t="shared" si="8"/>
        <v/>
      </c>
      <c r="P90" s="8"/>
      <c r="Q90" s="8"/>
      <c r="T90" s="8" t="str">
        <f t="shared" si="6"/>
        <v>#EAF1DD</v>
      </c>
    </row>
    <row r="91" ht="90.75" customHeight="1">
      <c r="A91" s="2" t="str">
        <f>CONCATENATE(Préfixes!$B$3,":P",ROW(A91))</f>
        <v>med:P91</v>
      </c>
      <c r="B91" s="2" t="s">
        <v>437</v>
      </c>
      <c r="C91" s="8" t="s">
        <v>51</v>
      </c>
      <c r="D91" s="8" t="b">
        <v>1</v>
      </c>
      <c r="E91" s="8" t="s">
        <v>438</v>
      </c>
      <c r="F91" s="8" t="s">
        <v>439</v>
      </c>
      <c r="G91" s="8"/>
      <c r="H91" s="48"/>
      <c r="I91" s="49"/>
      <c r="J91" s="2" t="s">
        <v>58</v>
      </c>
      <c r="K91" s="2" t="s">
        <v>116</v>
      </c>
      <c r="M91" s="57" t="str">
        <f t="shared" si="5"/>
        <v/>
      </c>
      <c r="N91" s="45" t="str">
        <f t="shared" si="7"/>
        <v>med:Substance</v>
      </c>
      <c r="O91" s="45" t="str">
        <f t="shared" si="8"/>
        <v/>
      </c>
      <c r="P91" s="8"/>
      <c r="Q91" s="8"/>
      <c r="T91" s="8" t="str">
        <f t="shared" si="6"/>
        <v>#EAF1DD</v>
      </c>
    </row>
    <row r="92" ht="25.5">
      <c r="A92" s="2" t="str">
        <f>CONCATENATE(Préfixes!$B$3,":P",ROW(A92))</f>
        <v>med:P92</v>
      </c>
      <c r="B92" s="2" t="s">
        <v>272</v>
      </c>
      <c r="C92" s="8" t="s">
        <v>51</v>
      </c>
      <c r="D92" s="8" t="b">
        <v>1</v>
      </c>
      <c r="E92" s="8" t="s">
        <v>273</v>
      </c>
      <c r="F92" s="8" t="s">
        <v>440</v>
      </c>
      <c r="G92" s="8"/>
      <c r="H92" s="48">
        <v>1</v>
      </c>
      <c r="I92" s="49"/>
      <c r="J92" s="2" t="s">
        <v>58</v>
      </c>
      <c r="K92" s="2" t="s">
        <v>116</v>
      </c>
      <c r="L92" s="2" t="s">
        <v>436</v>
      </c>
      <c r="M92" s="57" t="str">
        <f t="shared" si="5"/>
        <v/>
      </c>
      <c r="N92" s="45" t="str">
        <f t="shared" si="7"/>
        <v>med:Substance</v>
      </c>
      <c r="O92" s="45" t="str">
        <f t="shared" si="8"/>
        <v/>
      </c>
      <c r="P92" s="8"/>
      <c r="Q92" s="8"/>
      <c r="T92" s="8" t="str">
        <f t="shared" si="6"/>
        <v>#EAF1DD</v>
      </c>
    </row>
    <row r="93" ht="25.5">
      <c r="A93" s="2" t="str">
        <f>CONCATENATE(Préfixes!$B$3,":P",ROW(A93))</f>
        <v>med:P93</v>
      </c>
      <c r="B93" s="2" t="s">
        <v>324</v>
      </c>
      <c r="C93" s="8" t="s">
        <v>51</v>
      </c>
      <c r="D93" s="8" t="b">
        <v>1</v>
      </c>
      <c r="E93" s="8" t="s">
        <v>441</v>
      </c>
      <c r="F93" s="8" t="s">
        <v>442</v>
      </c>
      <c r="G93" s="8"/>
      <c r="H93" s="48">
        <v>1</v>
      </c>
      <c r="I93" s="49">
        <v>1</v>
      </c>
      <c r="J93" s="2" t="s">
        <v>58</v>
      </c>
      <c r="K93" s="2" t="s">
        <v>123</v>
      </c>
      <c r="L93" s="2"/>
      <c r="M93" s="57" t="str">
        <f t="shared" si="5"/>
        <v/>
      </c>
      <c r="N93" s="45" t="str">
        <f t="shared" si="7"/>
        <v>med:Forme</v>
      </c>
      <c r="O93" s="45" t="str">
        <f t="shared" si="8"/>
        <v/>
      </c>
      <c r="P93" s="8"/>
      <c r="Q93" s="8"/>
      <c r="T93" s="8" t="str">
        <f t="shared" si="6"/>
        <v>#EAF1DD</v>
      </c>
    </row>
    <row r="94" ht="38.25">
      <c r="A94" s="2" t="str">
        <f>CONCATENATE(Préfixes!$B$3,":P",ROW(A94))</f>
        <v>med:P94</v>
      </c>
      <c r="B94" s="2" t="s">
        <v>443</v>
      </c>
      <c r="C94" s="8" t="s">
        <v>51</v>
      </c>
      <c r="D94" s="8" t="b">
        <v>1</v>
      </c>
      <c r="E94" s="8" t="s">
        <v>444</v>
      </c>
      <c r="F94" s="8" t="s">
        <v>445</v>
      </c>
      <c r="G94" s="8"/>
      <c r="H94" s="48"/>
      <c r="I94" s="49">
        <v>1</v>
      </c>
      <c r="J94" s="2" t="s">
        <v>268</v>
      </c>
      <c r="K94" s="2" t="s">
        <v>319</v>
      </c>
      <c r="L94" s="2"/>
      <c r="M94" s="57" t="str">
        <f t="shared" si="5"/>
        <v>xsd:boolean</v>
      </c>
      <c r="N94" s="45" t="str">
        <f t="shared" si="7"/>
        <v/>
      </c>
      <c r="O94" s="45" t="str">
        <f t="shared" si="8"/>
        <v/>
      </c>
      <c r="P94" s="8"/>
      <c r="Q94" s="8"/>
      <c r="T94" s="8" t="str">
        <f t="shared" si="6"/>
        <v>#EAF1DD</v>
      </c>
    </row>
    <row r="95" ht="63.75">
      <c r="A95" s="2" t="str">
        <f>CONCATENATE(Préfixes!$B$3,":P",ROW(A95))</f>
        <v>med:P95</v>
      </c>
      <c r="B95" s="2" t="s">
        <v>446</v>
      </c>
      <c r="C95" s="8" t="s">
        <v>51</v>
      </c>
      <c r="D95" s="8" t="b">
        <v>1</v>
      </c>
      <c r="E95" s="8" t="s">
        <v>447</v>
      </c>
      <c r="F95" s="8" t="s">
        <v>448</v>
      </c>
      <c r="G95" s="8"/>
      <c r="H95" s="48">
        <v>1</v>
      </c>
      <c r="I95" s="49"/>
      <c r="J95" s="2" t="s">
        <v>58</v>
      </c>
      <c r="K95" s="2" t="s">
        <v>67</v>
      </c>
      <c r="L95" s="2"/>
      <c r="M95" s="57" t="str">
        <f t="shared" si="5"/>
        <v/>
      </c>
      <c r="N95" s="45" t="str">
        <f t="shared" si="7"/>
        <v>med:UniteCommuneDeDispensation</v>
      </c>
      <c r="O95" s="45" t="str">
        <f t="shared" si="8"/>
        <v/>
      </c>
      <c r="P95" s="8"/>
      <c r="Q95" s="8"/>
      <c r="T95" s="8" t="str">
        <f t="shared" si="6"/>
        <v>#EAF1DD</v>
      </c>
    </row>
    <row r="96" ht="76.5">
      <c r="A96" s="2" t="str">
        <f>CONCATENATE(Préfixes!$B$3,":P",ROW(A96))</f>
        <v>med:P96</v>
      </c>
      <c r="B96" s="2" t="s">
        <v>449</v>
      </c>
      <c r="C96" s="8" t="s">
        <v>51</v>
      </c>
      <c r="D96" s="8" t="b">
        <v>1</v>
      </c>
      <c r="E96" s="8" t="s">
        <v>450</v>
      </c>
      <c r="F96" s="8" t="s">
        <v>451</v>
      </c>
      <c r="G96" s="8"/>
      <c r="H96" s="48">
        <v>1</v>
      </c>
      <c r="I96" s="49"/>
      <c r="J96" s="2" t="s">
        <v>58</v>
      </c>
      <c r="K96" s="2" t="s">
        <v>61</v>
      </c>
      <c r="L96" s="2"/>
      <c r="M96" s="57" t="str">
        <f t="shared" si="5"/>
        <v/>
      </c>
      <c r="N96" s="45" t="str">
        <f t="shared" si="7"/>
        <v>med:Presentation</v>
      </c>
      <c r="O96" s="45" t="str">
        <f t="shared" si="8"/>
        <v/>
      </c>
      <c r="P96" s="8"/>
      <c r="Q96" s="8"/>
      <c r="T96" s="8" t="str">
        <f t="shared" si="6"/>
        <v>#EAF1DD</v>
      </c>
    </row>
    <row r="97" ht="38.25">
      <c r="A97" s="71" t="str">
        <f>CONCATENATE(Préfixes!$B$3,":P",ROW(A97))</f>
        <v>med:P97</v>
      </c>
      <c r="B97" s="71" t="s">
        <v>452</v>
      </c>
      <c r="C97" s="8" t="s">
        <v>51</v>
      </c>
      <c r="D97" s="8"/>
      <c r="E97" s="72" t="s">
        <v>453</v>
      </c>
      <c r="F97" s="72" t="s">
        <v>454</v>
      </c>
      <c r="G97" s="71"/>
      <c r="H97" s="73">
        <v>1</v>
      </c>
      <c r="I97" s="74"/>
      <c r="J97" s="71"/>
      <c r="K97" s="71" t="s">
        <v>221</v>
      </c>
      <c r="L97" s="71"/>
      <c r="M97" s="57" t="str">
        <f t="shared" si="5"/>
        <v/>
      </c>
      <c r="N97" s="57" t="str">
        <f t="shared" si="7"/>
        <v/>
      </c>
      <c r="O97" s="57" t="str">
        <f t="shared" si="8"/>
        <v>med:BlankNode_LabelWithDates</v>
      </c>
      <c r="P97" s="71"/>
      <c r="Q97" s="71"/>
      <c r="R97" s="71"/>
      <c r="S97" s="71"/>
      <c r="T97" s="8" t="str">
        <f t="shared" si="6"/>
        <v/>
      </c>
      <c r="U97" s="71"/>
      <c r="V97" s="71"/>
      <c r="W97" s="71"/>
      <c r="X97" s="71"/>
      <c r="Y97" s="71"/>
      <c r="Z97" s="71"/>
      <c r="AA97" s="71"/>
      <c r="AB97" s="71"/>
      <c r="AC97" s="71"/>
      <c r="AD97" s="71"/>
      <c r="AE97" s="71"/>
      <c r="AF97" s="71"/>
    </row>
    <row r="98" ht="53.25" customHeight="1">
      <c r="A98" s="8" t="str">
        <f>CONCATENATE(Préfixes!$B$3,":P",ROW(A98))</f>
        <v>med:P98</v>
      </c>
      <c r="B98" s="8" t="s">
        <v>455</v>
      </c>
      <c r="C98" s="8" t="s">
        <v>51</v>
      </c>
      <c r="D98" s="8"/>
      <c r="E98" s="8" t="s">
        <v>456</v>
      </c>
      <c r="F98" s="8" t="s">
        <v>457</v>
      </c>
      <c r="G98" s="8"/>
      <c r="H98" s="68">
        <v>1</v>
      </c>
      <c r="I98" s="69">
        <v>1</v>
      </c>
      <c r="J98" s="8" t="s">
        <v>58</v>
      </c>
      <c r="K98" s="2" t="s">
        <v>142</v>
      </c>
      <c r="L98" s="2"/>
      <c r="M98" s="71" t="str">
        <f t="shared" si="5"/>
        <v/>
      </c>
      <c r="N98" s="2" t="str">
        <f t="shared" si="7"/>
        <v>med:NiveauVirtualisation</v>
      </c>
      <c r="O98" s="2" t="str">
        <f t="shared" si="8"/>
        <v/>
      </c>
      <c r="P98" s="8"/>
      <c r="Q98" s="8"/>
      <c r="R98" s="8"/>
      <c r="S98" s="8"/>
      <c r="T98" s="8" t="str">
        <f t="shared" si="6"/>
        <v/>
      </c>
      <c r="U98" s="8"/>
      <c r="V98" s="8"/>
      <c r="W98" s="8"/>
      <c r="X98" s="8"/>
      <c r="Y98" s="8"/>
      <c r="Z98" s="8"/>
      <c r="AA98" s="8"/>
      <c r="AB98" s="8"/>
      <c r="AC98" s="8"/>
      <c r="AD98" s="8"/>
      <c r="AE98" s="8"/>
      <c r="AF98" s="8"/>
    </row>
    <row r="99" ht="45.75" customHeight="1">
      <c r="A99" s="8" t="str">
        <f>CONCATENATE(Préfixes!$B$3,":P",ROW(A99))</f>
        <v>med:P99</v>
      </c>
      <c r="B99" s="8" t="s">
        <v>458</v>
      </c>
      <c r="C99" s="8" t="s">
        <v>51</v>
      </c>
      <c r="D99" s="8" t="b">
        <v>1</v>
      </c>
      <c r="E99" s="8" t="s">
        <v>459</v>
      </c>
      <c r="F99" s="8" t="s">
        <v>460</v>
      </c>
      <c r="G99" s="8"/>
      <c r="H99" s="68">
        <v>1</v>
      </c>
      <c r="I99" s="69">
        <v>1</v>
      </c>
      <c r="J99" s="8" t="s">
        <v>58</v>
      </c>
      <c r="K99" s="2" t="s">
        <v>146</v>
      </c>
      <c r="L99" s="2"/>
      <c r="M99" s="71" t="str">
        <f t="shared" si="5"/>
        <v/>
      </c>
      <c r="N99" s="2" t="str">
        <f t="shared" si="7"/>
        <v>med:NiveauPrescriptibilite</v>
      </c>
      <c r="O99" s="2" t="str">
        <f t="shared" si="8"/>
        <v/>
      </c>
      <c r="P99" s="8"/>
      <c r="Q99" s="8"/>
      <c r="R99" s="8"/>
      <c r="S99" s="8"/>
      <c r="T99" s="8" t="str">
        <f t="shared" si="6"/>
        <v>#EAF1DD</v>
      </c>
      <c r="U99" s="8"/>
      <c r="V99" s="8"/>
      <c r="W99" s="8"/>
      <c r="X99" s="8"/>
      <c r="Y99" s="8"/>
      <c r="Z99" s="8"/>
      <c r="AA99" s="8"/>
      <c r="AB99" s="8"/>
      <c r="AC99" s="8"/>
      <c r="AD99" s="8"/>
      <c r="AE99" s="8"/>
      <c r="AF99" s="8"/>
    </row>
    <row r="100" ht="76.5">
      <c r="A100" s="2" t="str">
        <f>CONCATENATE(Préfixes!$B$3,":P",ROW(A100))</f>
        <v>med:P100</v>
      </c>
      <c r="B100" s="2" t="s">
        <v>461</v>
      </c>
      <c r="C100" s="8" t="s">
        <v>51</v>
      </c>
      <c r="D100" s="8"/>
      <c r="E100" s="8" t="s">
        <v>462</v>
      </c>
      <c r="F100" s="8" t="s">
        <v>463</v>
      </c>
      <c r="G100" s="8"/>
      <c r="H100" s="48"/>
      <c r="I100" s="49"/>
      <c r="J100" s="2" t="s">
        <v>58</v>
      </c>
      <c r="K100" s="2" t="s">
        <v>134</v>
      </c>
      <c r="L100" s="2"/>
      <c r="M100" s="57" t="str">
        <f t="shared" si="5"/>
        <v/>
      </c>
      <c r="N100" s="45" t="str">
        <f t="shared" si="7"/>
        <v>med:JustificationNiveauVirtualisation</v>
      </c>
      <c r="O100" s="45" t="str">
        <f t="shared" si="8"/>
        <v/>
      </c>
      <c r="P100" s="8"/>
      <c r="Q100" s="8"/>
      <c r="T100" s="8" t="str">
        <f t="shared" si="6"/>
        <v/>
      </c>
    </row>
    <row r="101" ht="102">
      <c r="A101" s="2" t="str">
        <f>CONCATENATE(Préfixes!$B$3,":P",ROW(A101))</f>
        <v>med:P101</v>
      </c>
      <c r="B101" s="2" t="s">
        <v>464</v>
      </c>
      <c r="C101" s="8" t="s">
        <v>51</v>
      </c>
      <c r="D101" s="8" t="b">
        <v>1</v>
      </c>
      <c r="E101" s="8" t="s">
        <v>465</v>
      </c>
      <c r="F101" s="8" t="s">
        <v>466</v>
      </c>
      <c r="G101" s="8"/>
      <c r="H101" s="48"/>
      <c r="I101" s="49"/>
      <c r="J101" s="2" t="s">
        <v>58</v>
      </c>
      <c r="K101" s="2" t="s">
        <v>138</v>
      </c>
      <c r="L101" s="2"/>
      <c r="M101" s="57" t="str">
        <f t="shared" ref="M101:M164" si="9">IF(K101&lt;&gt;"",IF(OR(LEFT(K101,3)="rdf",LEFT(K101,3)="xsd",LEFT(K101,3)="cdt"),K101,""),"")</f>
        <v/>
      </c>
      <c r="N101" s="45" t="str">
        <f t="shared" ref="N101:N164" si="10">IF(K101&lt;&gt;"",IF(AND(M101="",LEFT(K101,13)&lt;&gt;"med:BlankNode"),K101,""),"")</f>
        <v>med:JustificationNiveauPrescriptibilite</v>
      </c>
      <c r="O101" s="45" t="str">
        <f t="shared" ref="O101:O164" si="11">IF(K101&lt;&gt;"",IF(AND(M101="",LEFT(K101,13)="med:BlankNode"),K101,""),"")</f>
        <v/>
      </c>
      <c r="P101" s="8"/>
      <c r="Q101" s="8"/>
      <c r="T101" s="8" t="str">
        <f t="shared" si="6"/>
        <v>#EAF1DD</v>
      </c>
    </row>
    <row r="102" ht="89.25">
      <c r="A102" s="2" t="str">
        <f>CONCATENATE(Préfixes!$B$3,":P",ROW(A102))</f>
        <v>med:P102</v>
      </c>
      <c r="B102" s="2" t="s">
        <v>467</v>
      </c>
      <c r="C102" s="8" t="s">
        <v>51</v>
      </c>
      <c r="D102" s="8" t="b">
        <v>1</v>
      </c>
      <c r="E102" s="8" t="s">
        <v>468</v>
      </c>
      <c r="F102" s="8" t="s">
        <v>469</v>
      </c>
      <c r="G102" s="8"/>
      <c r="H102" s="48">
        <v>1</v>
      </c>
      <c r="I102" s="49">
        <v>2</v>
      </c>
      <c r="J102" s="2" t="s">
        <v>58</v>
      </c>
      <c r="K102" s="2" t="s">
        <v>110</v>
      </c>
      <c r="L102" s="2"/>
      <c r="M102" s="57" t="str">
        <f t="shared" si="9"/>
        <v/>
      </c>
      <c r="N102" s="45" t="str">
        <f t="shared" si="10"/>
        <v>med:Organisation</v>
      </c>
      <c r="O102" s="45" t="str">
        <f t="shared" si="11"/>
        <v/>
      </c>
      <c r="P102" s="8"/>
      <c r="Q102" s="8"/>
      <c r="T102" s="8" t="str">
        <f t="shared" si="6"/>
        <v>#EAF1DD</v>
      </c>
    </row>
    <row r="103" ht="12.75">
      <c r="A103" s="2" t="str">
        <f>CONCATENATE(Préfixes!$B$3,":P",ROW(A103))</f>
        <v>med:P103</v>
      </c>
      <c r="B103" s="2" t="s">
        <v>327</v>
      </c>
      <c r="C103" s="8" t="s">
        <v>51</v>
      </c>
      <c r="D103" s="8" t="b">
        <v>1</v>
      </c>
      <c r="E103" s="8" t="s">
        <v>328</v>
      </c>
      <c r="F103" s="8" t="s">
        <v>470</v>
      </c>
      <c r="G103" s="8"/>
      <c r="H103" s="48">
        <v>1</v>
      </c>
      <c r="I103" s="49"/>
      <c r="J103" s="2" t="s">
        <v>58</v>
      </c>
      <c r="K103" s="2" t="s">
        <v>120</v>
      </c>
      <c r="L103" s="2"/>
      <c r="M103" s="2" t="str">
        <f t="shared" si="9"/>
        <v/>
      </c>
      <c r="N103" s="2" t="str">
        <f t="shared" si="10"/>
        <v>med:Voie</v>
      </c>
      <c r="O103" s="2" t="str">
        <f t="shared" si="11"/>
        <v/>
      </c>
      <c r="P103" s="8"/>
      <c r="Q103" s="8"/>
      <c r="T103" s="8" t="str">
        <f t="shared" ref="T103:T107" si="12">IF(D103=TRUE,"#EAF1DD","")</f>
        <v>#EAF1DD</v>
      </c>
    </row>
    <row r="104" ht="25.5">
      <c r="A104" s="8" t="str">
        <f>CONCATENATE(Préfixes!$B$3,":P",ROW(A104))</f>
        <v>med:P104</v>
      </c>
      <c r="B104" s="8" t="s">
        <v>471</v>
      </c>
      <c r="C104" s="8" t="s">
        <v>51</v>
      </c>
      <c r="D104" s="8" t="b">
        <v>1</v>
      </c>
      <c r="E104" s="8" t="s">
        <v>472</v>
      </c>
      <c r="F104" s="8" t="s">
        <v>473</v>
      </c>
      <c r="G104" s="8"/>
      <c r="H104" s="68"/>
      <c r="I104" s="69"/>
      <c r="J104" s="8" t="s">
        <v>58</v>
      </c>
      <c r="K104" s="8" t="s">
        <v>73</v>
      </c>
      <c r="L104" s="8"/>
      <c r="M104" s="57" t="str">
        <f t="shared" si="9"/>
        <v/>
      </c>
      <c r="N104" s="45" t="str">
        <f t="shared" si="10"/>
        <v>med:GroupeGenerique</v>
      </c>
      <c r="O104" s="45" t="str">
        <f t="shared" si="11"/>
        <v/>
      </c>
      <c r="P104" s="8"/>
      <c r="Q104" s="8"/>
      <c r="R104" s="8"/>
      <c r="S104" s="8"/>
      <c r="T104" s="8" t="str">
        <f t="shared" si="12"/>
        <v>#EAF1DD</v>
      </c>
      <c r="U104" s="8"/>
      <c r="V104" s="8"/>
      <c r="W104" s="8"/>
      <c r="X104" s="8"/>
      <c r="Y104" s="8"/>
      <c r="Z104" s="8"/>
      <c r="AA104" s="8"/>
      <c r="AB104" s="8"/>
      <c r="AC104" s="8"/>
      <c r="AD104" s="8"/>
      <c r="AE104" s="8"/>
      <c r="AF104" s="8"/>
    </row>
    <row r="105" ht="25.5">
      <c r="A105" s="8" t="str">
        <f>CONCATENATE(Préfixes!$B$3,":P",ROW(A105))</f>
        <v>med:P105</v>
      </c>
      <c r="B105" s="8" t="s">
        <v>474</v>
      </c>
      <c r="C105" s="8" t="s">
        <v>51</v>
      </c>
      <c r="D105" s="8" t="b">
        <v>1</v>
      </c>
      <c r="E105" s="8" t="s">
        <v>475</v>
      </c>
      <c r="F105" s="8" t="s">
        <v>476</v>
      </c>
      <c r="G105" s="8"/>
      <c r="H105" s="68"/>
      <c r="I105" s="69"/>
      <c r="J105" s="8" t="s">
        <v>58</v>
      </c>
      <c r="K105" s="8" t="s">
        <v>73</v>
      </c>
      <c r="L105" s="8"/>
      <c r="M105" s="57" t="str">
        <f t="shared" si="9"/>
        <v/>
      </c>
      <c r="N105" s="45" t="str">
        <f t="shared" si="10"/>
        <v>med:GroupeGenerique</v>
      </c>
      <c r="O105" s="45" t="str">
        <f t="shared" si="11"/>
        <v/>
      </c>
      <c r="P105" s="8"/>
      <c r="Q105" s="8"/>
      <c r="R105" s="8"/>
      <c r="S105" s="8"/>
      <c r="T105" s="8" t="str">
        <f t="shared" si="12"/>
        <v>#EAF1DD</v>
      </c>
      <c r="U105" s="8"/>
      <c r="V105" s="8"/>
      <c r="W105" s="8"/>
      <c r="X105" s="8"/>
      <c r="Y105" s="8"/>
      <c r="Z105" s="8"/>
      <c r="AA105" s="8"/>
      <c r="AB105" s="8"/>
      <c r="AC105" s="8"/>
      <c r="AD105" s="8"/>
      <c r="AE105" s="8"/>
      <c r="AF105" s="8"/>
    </row>
    <row r="106" ht="25.5">
      <c r="A106" s="8" t="str">
        <f>CONCATENATE(Préfixes!$B$3,":P",ROW(A106))</f>
        <v>med:P106</v>
      </c>
      <c r="B106" s="8" t="s">
        <v>477</v>
      </c>
      <c r="C106" s="8" t="s">
        <v>51</v>
      </c>
      <c r="D106" s="8" t="b">
        <v>1</v>
      </c>
      <c r="E106" s="8" t="s">
        <v>478</v>
      </c>
      <c r="F106" s="8" t="s">
        <v>479</v>
      </c>
      <c r="G106" s="8"/>
      <c r="H106" s="68"/>
      <c r="I106" s="69"/>
      <c r="J106" s="8" t="s">
        <v>58</v>
      </c>
      <c r="K106" s="8" t="s">
        <v>73</v>
      </c>
      <c r="L106" s="8"/>
      <c r="M106" s="57" t="str">
        <f t="shared" si="9"/>
        <v/>
      </c>
      <c r="N106" s="45" t="str">
        <f t="shared" si="10"/>
        <v>med:GroupeGenerique</v>
      </c>
      <c r="O106" s="45" t="str">
        <f t="shared" si="11"/>
        <v/>
      </c>
      <c r="P106" s="8"/>
      <c r="Q106" s="8"/>
      <c r="R106" s="8"/>
      <c r="S106" s="8"/>
      <c r="T106" s="8" t="str">
        <f t="shared" si="12"/>
        <v>#EAF1DD</v>
      </c>
      <c r="U106" s="8"/>
      <c r="V106" s="8"/>
      <c r="W106" s="8"/>
      <c r="X106" s="8"/>
      <c r="Y106" s="8"/>
      <c r="Z106" s="8"/>
      <c r="AA106" s="8"/>
      <c r="AB106" s="8"/>
      <c r="AC106" s="8"/>
      <c r="AD106" s="8"/>
      <c r="AE106" s="8"/>
      <c r="AF106" s="8"/>
    </row>
    <row r="107" ht="12.75">
      <c r="A107" s="8" t="str">
        <f>CONCATENATE(Préfixes!$B$3,":P",ROW(A107))</f>
        <v>med:P107</v>
      </c>
      <c r="B107" s="8" t="s">
        <v>480</v>
      </c>
      <c r="C107" s="8" t="s">
        <v>51</v>
      </c>
      <c r="D107" s="8" t="b">
        <v>1</v>
      </c>
      <c r="E107" s="8" t="s">
        <v>481</v>
      </c>
      <c r="F107" s="8" t="s">
        <v>482</v>
      </c>
      <c r="G107" s="8"/>
      <c r="H107" s="68">
        <v>1</v>
      </c>
      <c r="I107" s="69">
        <v>1</v>
      </c>
      <c r="J107" s="8" t="s">
        <v>58</v>
      </c>
      <c r="K107" s="8" t="s">
        <v>154</v>
      </c>
      <c r="L107" s="8"/>
      <c r="M107" s="57" t="str">
        <f t="shared" si="9"/>
        <v/>
      </c>
      <c r="N107" s="45" t="str">
        <f t="shared" si="10"/>
        <v>med:Gamme</v>
      </c>
      <c r="O107" s="45" t="str">
        <f t="shared" si="11"/>
        <v/>
      </c>
      <c r="P107" s="8"/>
      <c r="Q107" s="8"/>
      <c r="R107" s="8"/>
      <c r="S107" s="8"/>
      <c r="T107" s="8" t="str">
        <f t="shared" si="12"/>
        <v>#EAF1DD</v>
      </c>
      <c r="U107" s="8"/>
      <c r="V107" s="8"/>
      <c r="W107" s="8"/>
      <c r="X107" s="8"/>
      <c r="Y107" s="8"/>
      <c r="Z107" s="8"/>
      <c r="AA107" s="8"/>
      <c r="AB107" s="8"/>
      <c r="AC107" s="8"/>
      <c r="AD107" s="8"/>
      <c r="AE107" s="8"/>
      <c r="AF107" s="8"/>
    </row>
    <row r="108" ht="18">
      <c r="A108" s="65"/>
      <c r="B108" s="65" t="s">
        <v>483</v>
      </c>
      <c r="C108" s="65"/>
      <c r="D108" s="65"/>
      <c r="E108" s="65"/>
      <c r="F108" s="65"/>
      <c r="G108" s="65"/>
      <c r="H108" s="66"/>
      <c r="I108" s="67"/>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row>
    <row r="109" ht="12.75">
      <c r="A109" s="8" t="str">
        <f>CONCATENATE(Préfixes!$B$3,":P",ROW(A109))</f>
        <v>med:P109</v>
      </c>
      <c r="B109" s="8" t="s">
        <v>484</v>
      </c>
      <c r="C109" s="8" t="s">
        <v>78</v>
      </c>
      <c r="D109" s="8" t="b">
        <v>1</v>
      </c>
      <c r="E109" s="8" t="s">
        <v>485</v>
      </c>
      <c r="F109" s="8" t="s">
        <v>486</v>
      </c>
      <c r="G109" s="8"/>
      <c r="H109" s="68">
        <v>1</v>
      </c>
      <c r="I109" s="69">
        <v>1</v>
      </c>
      <c r="J109" s="8" t="s">
        <v>268</v>
      </c>
      <c r="K109" s="8" t="s">
        <v>264</v>
      </c>
      <c r="L109" s="8"/>
      <c r="M109" s="57" t="str">
        <f t="shared" si="9"/>
        <v>xsd:string</v>
      </c>
      <c r="N109" s="45" t="str">
        <f t="shared" si="10"/>
        <v/>
      </c>
      <c r="O109" s="45" t="str">
        <f t="shared" si="11"/>
        <v/>
      </c>
      <c r="P109" s="8"/>
      <c r="Q109" s="8"/>
      <c r="R109" s="8"/>
      <c r="S109" s="8"/>
      <c r="T109" s="8" t="str">
        <f t="shared" si="6"/>
        <v>#EAF1DD</v>
      </c>
      <c r="U109" s="8"/>
      <c r="V109" s="8"/>
      <c r="W109" s="8"/>
      <c r="X109" s="8"/>
      <c r="Y109" s="8"/>
      <c r="Z109" s="8"/>
      <c r="AA109" s="8"/>
      <c r="AB109" s="8"/>
      <c r="AC109" s="8"/>
      <c r="AD109" s="8"/>
      <c r="AE109" s="8"/>
      <c r="AF109" s="8"/>
    </row>
    <row r="110" ht="12.75">
      <c r="A110" s="8" t="str">
        <f>CONCATENATE(Préfixes!$B$3,":P",ROW(A110))</f>
        <v>med:P110</v>
      </c>
      <c r="B110" s="8" t="s">
        <v>265</v>
      </c>
      <c r="C110" s="8" t="s">
        <v>78</v>
      </c>
      <c r="D110" s="8" t="b">
        <v>1</v>
      </c>
      <c r="E110" s="8" t="s">
        <v>487</v>
      </c>
      <c r="F110" s="8" t="s">
        <v>488</v>
      </c>
      <c r="G110" s="8"/>
      <c r="H110" s="68">
        <v>1</v>
      </c>
      <c r="I110" s="69">
        <v>1</v>
      </c>
      <c r="J110" s="8" t="s">
        <v>268</v>
      </c>
      <c r="K110" s="75" t="s">
        <v>269</v>
      </c>
      <c r="L110" s="8"/>
      <c r="M110" s="57" t="str">
        <f t="shared" si="9"/>
        <v>rdf:langString</v>
      </c>
      <c r="N110" s="45" t="str">
        <f t="shared" si="10"/>
        <v/>
      </c>
      <c r="O110" s="45" t="str">
        <f t="shared" si="11"/>
        <v/>
      </c>
      <c r="P110" s="8" t="s">
        <v>270</v>
      </c>
      <c r="Q110" s="8"/>
      <c r="R110" s="8"/>
      <c r="S110" s="8"/>
      <c r="T110" s="8" t="str">
        <f t="shared" si="6"/>
        <v>#EAF1DD</v>
      </c>
      <c r="U110" s="8"/>
      <c r="V110" s="8"/>
      <c r="W110" s="8"/>
      <c r="X110" s="8"/>
      <c r="Y110" s="8"/>
      <c r="Z110" s="8"/>
      <c r="AA110" s="8"/>
      <c r="AB110" s="8"/>
      <c r="AC110" s="8"/>
      <c r="AD110" s="8"/>
      <c r="AE110" s="8"/>
      <c r="AF110" s="8"/>
    </row>
    <row r="111" ht="25.5">
      <c r="A111" s="8" t="str">
        <f>CONCATENATE(Préfixes!$B$3,":P",ROW(A111))</f>
        <v>med:P111</v>
      </c>
      <c r="B111" s="8" t="s">
        <v>489</v>
      </c>
      <c r="C111" s="8" t="s">
        <v>78</v>
      </c>
      <c r="D111" s="8" t="b">
        <v>1</v>
      </c>
      <c r="E111" s="8" t="s">
        <v>490</v>
      </c>
      <c r="F111" s="8" t="s">
        <v>491</v>
      </c>
      <c r="G111" s="8"/>
      <c r="H111" s="68">
        <v>1</v>
      </c>
      <c r="I111" s="69"/>
      <c r="J111" s="8" t="s">
        <v>58</v>
      </c>
      <c r="K111" s="8" t="s">
        <v>104</v>
      </c>
      <c r="L111" s="2" t="s">
        <v>436</v>
      </c>
      <c r="M111" s="57" t="str">
        <f t="shared" si="9"/>
        <v/>
      </c>
      <c r="N111" s="45" t="str">
        <f t="shared" si="10"/>
        <v>med:ExpressionDeDosage</v>
      </c>
      <c r="O111" s="45" t="str">
        <f t="shared" si="11"/>
        <v/>
      </c>
      <c r="P111" s="8"/>
      <c r="Q111" s="8"/>
      <c r="R111" s="8"/>
      <c r="S111" s="8"/>
      <c r="T111" s="8" t="str">
        <f t="shared" si="6"/>
        <v>#EAF1DD</v>
      </c>
      <c r="U111" s="8"/>
      <c r="V111" s="8"/>
      <c r="W111" s="8"/>
      <c r="X111" s="8"/>
      <c r="Y111" s="8"/>
      <c r="Z111" s="8"/>
      <c r="AA111" s="8"/>
      <c r="AB111" s="8"/>
      <c r="AC111" s="8"/>
      <c r="AD111" s="8"/>
      <c r="AE111" s="8"/>
      <c r="AF111" s="8"/>
    </row>
    <row r="112" ht="12.75">
      <c r="A112" s="8" t="str">
        <f>CONCATENATE(Préfixes!$B$3,":P",ROW(A112))</f>
        <v>med:P112</v>
      </c>
      <c r="B112" s="8" t="s">
        <v>492</v>
      </c>
      <c r="C112" s="8" t="s">
        <v>78</v>
      </c>
      <c r="D112" s="8" t="b">
        <v>1</v>
      </c>
      <c r="E112" s="8" t="s">
        <v>493</v>
      </c>
      <c r="F112" s="8" t="s">
        <v>494</v>
      </c>
      <c r="G112" s="8"/>
      <c r="H112" s="68">
        <v>1</v>
      </c>
      <c r="I112" s="69">
        <v>1</v>
      </c>
      <c r="J112" s="8" t="s">
        <v>58</v>
      </c>
      <c r="K112" s="2" t="s">
        <v>51</v>
      </c>
      <c r="L112" s="2"/>
      <c r="M112" s="57" t="str">
        <f t="shared" si="9"/>
        <v/>
      </c>
      <c r="N112" s="45" t="str">
        <f t="shared" si="10"/>
        <v>med:SpecialitePharmaceutique</v>
      </c>
      <c r="O112" s="45" t="str">
        <f t="shared" si="11"/>
        <v/>
      </c>
      <c r="P112" s="8"/>
      <c r="Q112" s="8"/>
      <c r="R112" s="8"/>
      <c r="S112" s="8"/>
      <c r="T112" s="8" t="str">
        <f t="shared" si="6"/>
        <v>#EAF1DD</v>
      </c>
      <c r="U112" s="8"/>
      <c r="V112" s="8"/>
      <c r="W112" s="8"/>
      <c r="X112" s="8"/>
      <c r="Y112" s="8"/>
      <c r="Z112" s="8"/>
      <c r="AA112" s="8"/>
      <c r="AB112" s="8"/>
      <c r="AC112" s="8"/>
      <c r="AD112" s="8"/>
      <c r="AE112" s="8"/>
      <c r="AF112" s="8"/>
    </row>
    <row r="113" ht="25.5">
      <c r="A113" s="8" t="str">
        <f>CONCATENATE(Préfixes!$B$3,":P",ROW(A113))</f>
        <v>med:P113</v>
      </c>
      <c r="B113" s="8" t="s">
        <v>495</v>
      </c>
      <c r="C113" s="8" t="s">
        <v>78</v>
      </c>
      <c r="D113" s="8" t="b">
        <v>1</v>
      </c>
      <c r="E113" s="8" t="s">
        <v>496</v>
      </c>
      <c r="F113" s="8" t="s">
        <v>497</v>
      </c>
      <c r="G113" s="8"/>
      <c r="H113" s="68">
        <v>1</v>
      </c>
      <c r="I113" s="69">
        <v>1</v>
      </c>
      <c r="J113" s="8" t="s">
        <v>268</v>
      </c>
      <c r="K113" s="2" t="s">
        <v>264</v>
      </c>
      <c r="L113" s="2"/>
      <c r="M113" s="57" t="str">
        <f t="shared" si="9"/>
        <v>xsd:string</v>
      </c>
      <c r="N113" s="45" t="str">
        <f t="shared" si="10"/>
        <v/>
      </c>
      <c r="O113" s="45" t="str">
        <f t="shared" si="11"/>
        <v/>
      </c>
      <c r="P113" s="8"/>
      <c r="Q113" s="8"/>
      <c r="R113" s="8"/>
      <c r="S113" s="8"/>
      <c r="T113" s="8" t="str">
        <f t="shared" si="6"/>
        <v>#EAF1DD</v>
      </c>
      <c r="U113" s="8"/>
      <c r="V113" s="8"/>
      <c r="W113" s="8"/>
      <c r="X113" s="8"/>
      <c r="Y113" s="8"/>
      <c r="Z113" s="8"/>
      <c r="AA113" s="8"/>
      <c r="AB113" s="8"/>
      <c r="AC113" s="8"/>
      <c r="AD113" s="8"/>
      <c r="AE113" s="8"/>
      <c r="AF113" s="8"/>
    </row>
    <row r="114" ht="12.75">
      <c r="A114" s="8" t="str">
        <f>CONCATENATE(Préfixes!$B$3,":P",ROW(A114))</f>
        <v>med:P114</v>
      </c>
      <c r="B114" s="8" t="s">
        <v>324</v>
      </c>
      <c r="C114" s="8" t="s">
        <v>78</v>
      </c>
      <c r="D114" s="8"/>
      <c r="E114" s="8" t="s">
        <v>325</v>
      </c>
      <c r="F114" s="8" t="s">
        <v>498</v>
      </c>
      <c r="G114" s="8"/>
      <c r="H114" s="68">
        <v>1</v>
      </c>
      <c r="I114" s="69">
        <v>1</v>
      </c>
      <c r="J114" s="8" t="s">
        <v>58</v>
      </c>
      <c r="K114" s="2" t="s">
        <v>123</v>
      </c>
      <c r="L114" s="2"/>
      <c r="M114" s="57" t="str">
        <f t="shared" si="9"/>
        <v/>
      </c>
      <c r="N114" s="45" t="str">
        <f t="shared" si="10"/>
        <v>med:Forme</v>
      </c>
      <c r="O114" s="45" t="str">
        <f t="shared" si="11"/>
        <v/>
      </c>
      <c r="P114" s="8"/>
      <c r="Q114" s="8"/>
      <c r="R114" s="8"/>
      <c r="S114" s="8"/>
      <c r="T114" s="8" t="str">
        <f t="shared" si="6"/>
        <v/>
      </c>
      <c r="U114" s="8"/>
      <c r="V114" s="8"/>
      <c r="W114" s="8"/>
      <c r="X114" s="8"/>
      <c r="Y114" s="8"/>
      <c r="Z114" s="8"/>
      <c r="AA114" s="8"/>
      <c r="AB114" s="8"/>
      <c r="AC114" s="8"/>
      <c r="AD114" s="8"/>
      <c r="AE114" s="8"/>
      <c r="AF114" s="8"/>
    </row>
    <row r="115" ht="63.75">
      <c r="A115" s="2" t="str">
        <f>CONCATENATE(Préfixes!$B$3,":P",ROW(A115))</f>
        <v>med:P115</v>
      </c>
      <c r="B115" s="2" t="s">
        <v>433</v>
      </c>
      <c r="C115" s="8" t="s">
        <v>78</v>
      </c>
      <c r="D115" s="8" t="b">
        <v>1</v>
      </c>
      <c r="E115" s="8" t="s">
        <v>434</v>
      </c>
      <c r="F115" s="8" t="s">
        <v>499</v>
      </c>
      <c r="G115" s="8"/>
      <c r="H115" s="48">
        <v>1</v>
      </c>
      <c r="I115" s="49"/>
      <c r="J115" s="2" t="s">
        <v>58</v>
      </c>
      <c r="K115" s="2" t="s">
        <v>116</v>
      </c>
      <c r="L115" s="2" t="s">
        <v>436</v>
      </c>
      <c r="M115" s="57" t="str">
        <f t="shared" si="9"/>
        <v/>
      </c>
      <c r="N115" s="45" t="str">
        <f t="shared" si="10"/>
        <v>med:Substance</v>
      </c>
      <c r="O115" s="45" t="str">
        <f t="shared" si="11"/>
        <v/>
      </c>
      <c r="P115" s="8"/>
      <c r="Q115" s="8"/>
      <c r="T115" s="8" t="str">
        <f t="shared" si="6"/>
        <v>#EAF1DD</v>
      </c>
    </row>
    <row r="116" ht="76.5">
      <c r="A116" s="2" t="str">
        <f>CONCATENATE(Préfixes!$B$3,":P",ROW(A116))</f>
        <v>med:P116</v>
      </c>
      <c r="B116" s="2" t="s">
        <v>437</v>
      </c>
      <c r="C116" s="8" t="s">
        <v>78</v>
      </c>
      <c r="D116" s="8" t="b">
        <v>1</v>
      </c>
      <c r="E116" s="8" t="s">
        <v>438</v>
      </c>
      <c r="F116" s="8" t="s">
        <v>500</v>
      </c>
      <c r="G116" s="8"/>
      <c r="H116" s="48"/>
      <c r="I116" s="49"/>
      <c r="J116" s="2" t="s">
        <v>58</v>
      </c>
      <c r="K116" s="2" t="s">
        <v>116</v>
      </c>
      <c r="M116" s="57" t="str">
        <f t="shared" si="9"/>
        <v/>
      </c>
      <c r="N116" s="45" t="str">
        <f t="shared" si="10"/>
        <v>med:Substance</v>
      </c>
      <c r="O116" s="45" t="str">
        <f t="shared" si="11"/>
        <v/>
      </c>
      <c r="P116" s="8"/>
      <c r="Q116" s="8"/>
      <c r="T116" s="8" t="str">
        <f t="shared" si="6"/>
        <v>#EAF1DD</v>
      </c>
    </row>
    <row r="117" ht="25.5">
      <c r="A117" s="2" t="str">
        <f>CONCATENATE(Préfixes!$B$3,":P",ROW(A117))</f>
        <v>med:P117</v>
      </c>
      <c r="B117" s="2" t="s">
        <v>272</v>
      </c>
      <c r="C117" s="8" t="s">
        <v>78</v>
      </c>
      <c r="D117" s="8" t="b">
        <v>1</v>
      </c>
      <c r="E117" s="8" t="s">
        <v>273</v>
      </c>
      <c r="F117" s="8" t="s">
        <v>501</v>
      </c>
      <c r="G117" s="8"/>
      <c r="H117" s="48">
        <v>1</v>
      </c>
      <c r="I117" s="49"/>
      <c r="J117" s="2" t="s">
        <v>58</v>
      </c>
      <c r="K117" s="2" t="s">
        <v>116</v>
      </c>
      <c r="L117" s="2" t="s">
        <v>436</v>
      </c>
      <c r="M117" s="57" t="str">
        <f t="shared" si="9"/>
        <v/>
      </c>
      <c r="N117" s="45" t="str">
        <f t="shared" si="10"/>
        <v>med:Substance</v>
      </c>
      <c r="O117" s="45" t="str">
        <f t="shared" si="11"/>
        <v/>
      </c>
      <c r="P117" s="8"/>
      <c r="Q117" s="8"/>
      <c r="T117" s="8" t="str">
        <f t="shared" si="6"/>
        <v>#EAF1DD</v>
      </c>
    </row>
    <row r="118" ht="76.5">
      <c r="A118" s="8" t="str">
        <f>CONCATENATE(Préfixes!$B$3,":P",ROW(A118))</f>
        <v>med:P118</v>
      </c>
      <c r="B118" s="8" t="s">
        <v>282</v>
      </c>
      <c r="C118" s="8" t="s">
        <v>78</v>
      </c>
      <c r="D118" s="8" t="b">
        <v>0</v>
      </c>
      <c r="E118" s="8" t="s">
        <v>283</v>
      </c>
      <c r="F118" s="8" t="s">
        <v>502</v>
      </c>
      <c r="G118" s="8"/>
      <c r="H118" s="68"/>
      <c r="I118" s="69">
        <v>1</v>
      </c>
      <c r="J118" s="8" t="s">
        <v>58</v>
      </c>
      <c r="K118" s="2" t="s">
        <v>91</v>
      </c>
      <c r="L118" s="2"/>
      <c r="M118" s="57" t="str">
        <f t="shared" si="9"/>
        <v/>
      </c>
      <c r="N118" s="45" t="str">
        <f t="shared" si="10"/>
        <v>med:DosageConcentration</v>
      </c>
      <c r="O118" s="45" t="str">
        <f t="shared" si="11"/>
        <v/>
      </c>
      <c r="P118" s="8"/>
      <c r="Q118" s="8"/>
      <c r="R118" s="8"/>
      <c r="S118" s="8"/>
      <c r="T118" s="8" t="str">
        <f t="shared" si="6"/>
        <v/>
      </c>
      <c r="U118" s="8"/>
      <c r="V118" s="8"/>
      <c r="W118" s="8"/>
      <c r="X118" s="8"/>
      <c r="Y118" s="8"/>
      <c r="Z118" s="8"/>
      <c r="AA118" s="8"/>
      <c r="AB118" s="8"/>
      <c r="AC118" s="8"/>
      <c r="AD118" s="8"/>
      <c r="AE118" s="8"/>
      <c r="AF118" s="8"/>
    </row>
    <row r="119" ht="25.5">
      <c r="A119" s="8" t="str">
        <f>CONCATENATE(Préfixes!$B$3,":P",ROW(A119))</f>
        <v>med:P119</v>
      </c>
      <c r="B119" s="8" t="s">
        <v>503</v>
      </c>
      <c r="C119" s="8" t="s">
        <v>78</v>
      </c>
      <c r="D119" s="8" t="b">
        <v>0</v>
      </c>
      <c r="E119" s="8" t="s">
        <v>504</v>
      </c>
      <c r="F119" s="8" t="s">
        <v>505</v>
      </c>
      <c r="G119" s="8"/>
      <c r="H119" s="68"/>
      <c r="I119" s="69">
        <v>1</v>
      </c>
      <c r="J119" s="8" t="s">
        <v>58</v>
      </c>
      <c r="K119" s="2" t="s">
        <v>85</v>
      </c>
      <c r="L119" s="2"/>
      <c r="M119" s="57" t="str">
        <f t="shared" si="9"/>
        <v/>
      </c>
      <c r="N119" s="45" t="str">
        <f t="shared" si="10"/>
        <v>med:ElementPresentation</v>
      </c>
      <c r="O119" s="45" t="str">
        <f t="shared" si="11"/>
        <v/>
      </c>
      <c r="P119" s="8"/>
      <c r="Q119" s="8"/>
      <c r="R119" s="8"/>
      <c r="S119" s="8"/>
      <c r="T119" s="8" t="str">
        <f t="shared" si="6"/>
        <v/>
      </c>
      <c r="U119" s="8"/>
      <c r="V119" s="8"/>
      <c r="W119" s="8"/>
      <c r="X119" s="8"/>
      <c r="Y119" s="8"/>
      <c r="Z119" s="8"/>
      <c r="AA119" s="8"/>
      <c r="AB119" s="8"/>
      <c r="AC119" s="8"/>
      <c r="AD119" s="8"/>
      <c r="AE119" s="8"/>
      <c r="AF119" s="8"/>
    </row>
    <row r="120" ht="18">
      <c r="A120" s="61"/>
      <c r="B120" s="61" t="s">
        <v>105</v>
      </c>
      <c r="C120" s="61"/>
      <c r="D120" s="61"/>
      <c r="E120" s="61"/>
      <c r="F120" s="61"/>
      <c r="G120" s="61"/>
      <c r="H120" s="62"/>
      <c r="I120" s="63"/>
      <c r="J120" s="61"/>
      <c r="K120" s="61"/>
      <c r="L120" s="61"/>
      <c r="M120" s="61"/>
      <c r="N120" s="61"/>
      <c r="O120" s="61"/>
      <c r="P120" s="61"/>
      <c r="Q120" s="61"/>
      <c r="R120" s="61"/>
      <c r="S120" s="61"/>
      <c r="T120" s="61"/>
      <c r="U120" s="61"/>
      <c r="V120" s="61"/>
      <c r="W120" s="61"/>
      <c r="X120" s="61"/>
      <c r="Y120" s="61"/>
      <c r="Z120" s="61"/>
      <c r="AA120" s="61"/>
      <c r="AB120" s="61"/>
      <c r="AC120" s="61"/>
      <c r="AD120" s="61"/>
      <c r="AE120" s="61"/>
      <c r="AF120" s="61"/>
    </row>
    <row r="121" ht="25.5">
      <c r="A121" s="8" t="str">
        <f>CONCATENATE(Préfixes!$B$3,":P",ROW(A121))</f>
        <v>med:P121</v>
      </c>
      <c r="B121" s="8" t="s">
        <v>265</v>
      </c>
      <c r="C121" s="2" t="s">
        <v>104</v>
      </c>
      <c r="D121" s="8" t="b">
        <v>1</v>
      </c>
      <c r="E121" s="8" t="s">
        <v>506</v>
      </c>
      <c r="F121" s="8" t="s">
        <v>507</v>
      </c>
      <c r="G121" s="8"/>
      <c r="H121" s="68">
        <v>1</v>
      </c>
      <c r="I121" s="69">
        <v>1</v>
      </c>
      <c r="J121" s="8" t="s">
        <v>268</v>
      </c>
      <c r="K121" s="8" t="s">
        <v>269</v>
      </c>
      <c r="L121" s="8"/>
      <c r="M121" s="71" t="str">
        <f t="shared" si="9"/>
        <v>rdf:langString</v>
      </c>
      <c r="N121" s="2" t="str">
        <f t="shared" si="10"/>
        <v/>
      </c>
      <c r="O121" s="2" t="str">
        <f t="shared" si="11"/>
        <v/>
      </c>
      <c r="P121" s="8" t="s">
        <v>270</v>
      </c>
      <c r="Q121" s="8"/>
      <c r="R121" s="8"/>
      <c r="S121" s="8"/>
      <c r="T121" s="8" t="str">
        <f t="shared" si="6"/>
        <v>#EAF1DD</v>
      </c>
      <c r="U121" s="8"/>
      <c r="V121" s="8"/>
      <c r="W121" s="8"/>
      <c r="X121" s="8"/>
      <c r="Y121" s="8"/>
      <c r="Z121" s="8"/>
      <c r="AA121" s="8"/>
      <c r="AB121" s="8"/>
      <c r="AC121" s="8"/>
      <c r="AD121" s="8"/>
      <c r="AE121" s="8"/>
      <c r="AF121" s="8"/>
    </row>
    <row r="122" ht="12.75">
      <c r="A122" s="2" t="str">
        <f>CONCATENATE(Préfixes!$B$3,":P",ROW(A122))</f>
        <v>med:P122</v>
      </c>
      <c r="B122" s="2" t="s">
        <v>343</v>
      </c>
      <c r="C122" s="2" t="s">
        <v>104</v>
      </c>
      <c r="D122" s="8" t="b">
        <v>1</v>
      </c>
      <c r="E122" s="8" t="s">
        <v>508</v>
      </c>
      <c r="F122" s="8" t="s">
        <v>509</v>
      </c>
      <c r="G122" s="8"/>
      <c r="H122" s="48">
        <v>1</v>
      </c>
      <c r="I122" s="49">
        <v>1</v>
      </c>
      <c r="J122" s="2" t="s">
        <v>58</v>
      </c>
      <c r="K122" s="2" t="s">
        <v>116</v>
      </c>
      <c r="L122" s="2"/>
      <c r="M122" s="57" t="str">
        <f t="shared" si="9"/>
        <v/>
      </c>
      <c r="N122" s="45" t="str">
        <f t="shared" si="10"/>
        <v>med:Substance</v>
      </c>
      <c r="O122" s="45" t="str">
        <f t="shared" si="11"/>
        <v/>
      </c>
      <c r="P122" s="8"/>
      <c r="Q122" s="8"/>
      <c r="T122" s="8" t="str">
        <f t="shared" si="6"/>
        <v>#EAF1DD</v>
      </c>
    </row>
    <row r="123" ht="12.75">
      <c r="A123" s="2" t="str">
        <f>CONCATENATE(Préfixes!$B$3,":P",ROW(A123))</f>
        <v>med:P123</v>
      </c>
      <c r="B123" s="2" t="s">
        <v>510</v>
      </c>
      <c r="C123" s="2" t="s">
        <v>104</v>
      </c>
      <c r="D123" s="8" t="b">
        <v>1</v>
      </c>
      <c r="E123" s="8" t="s">
        <v>511</v>
      </c>
      <c r="F123" s="8" t="s">
        <v>512</v>
      </c>
      <c r="G123" s="8"/>
      <c r="H123" s="48">
        <v>1</v>
      </c>
      <c r="I123" s="49">
        <v>1</v>
      </c>
      <c r="J123" s="2" t="s">
        <v>268</v>
      </c>
      <c r="K123" s="2" t="s">
        <v>264</v>
      </c>
      <c r="L123" s="2"/>
      <c r="M123" s="57" t="str">
        <f t="shared" si="9"/>
        <v>xsd:string</v>
      </c>
      <c r="N123" s="45" t="str">
        <f t="shared" si="10"/>
        <v/>
      </c>
      <c r="O123" s="45" t="str">
        <f t="shared" si="11"/>
        <v/>
      </c>
      <c r="P123" s="8"/>
      <c r="Q123" s="8"/>
      <c r="T123" s="8" t="str">
        <f t="shared" si="6"/>
        <v>#EAF1DD</v>
      </c>
    </row>
    <row r="124" ht="38.25">
      <c r="A124" s="2" t="str">
        <f>CONCATENATE(Préfixes!$B$3,":P",ROW(A124))</f>
        <v>med:P124</v>
      </c>
      <c r="B124" s="2" t="s">
        <v>513</v>
      </c>
      <c r="C124" s="2" t="s">
        <v>104</v>
      </c>
      <c r="D124" s="2" t="b">
        <v>0</v>
      </c>
      <c r="E124" s="8" t="s">
        <v>514</v>
      </c>
      <c r="F124" s="8" t="s">
        <v>515</v>
      </c>
      <c r="G124" s="8"/>
      <c r="H124" s="48">
        <v>1</v>
      </c>
      <c r="I124" s="49">
        <v>1</v>
      </c>
      <c r="J124" s="2" t="s">
        <v>268</v>
      </c>
      <c r="K124" s="2" t="s">
        <v>264</v>
      </c>
      <c r="L124" s="2"/>
      <c r="M124" s="57" t="str">
        <f t="shared" si="9"/>
        <v>xsd:string</v>
      </c>
      <c r="N124" s="45" t="str">
        <f t="shared" si="10"/>
        <v/>
      </c>
      <c r="O124" s="45" t="str">
        <f t="shared" si="11"/>
        <v/>
      </c>
      <c r="P124" s="8"/>
      <c r="Q124" s="8"/>
      <c r="T124" s="8" t="str">
        <f t="shared" si="6"/>
        <v/>
      </c>
    </row>
    <row r="125" ht="51">
      <c r="A125" s="2" t="str">
        <f>CONCATENATE(Préfixes!$B$3,":P",ROW(A125))</f>
        <v>med:P125</v>
      </c>
      <c r="B125" s="2" t="s">
        <v>516</v>
      </c>
      <c r="C125" s="2" t="s">
        <v>104</v>
      </c>
      <c r="D125" s="8" t="b">
        <v>1</v>
      </c>
      <c r="E125" s="8" t="s">
        <v>517</v>
      </c>
      <c r="F125" s="8" t="s">
        <v>518</v>
      </c>
      <c r="G125" s="8"/>
      <c r="H125" s="48">
        <v>1</v>
      </c>
      <c r="I125" s="49">
        <v>1</v>
      </c>
      <c r="J125" s="2" t="s">
        <v>268</v>
      </c>
      <c r="K125" s="2" t="s">
        <v>264</v>
      </c>
      <c r="L125" s="2" t="s">
        <v>436</v>
      </c>
      <c r="M125" s="57" t="str">
        <f t="shared" si="9"/>
        <v>xsd:string</v>
      </c>
      <c r="N125" s="45" t="str">
        <f t="shared" si="10"/>
        <v/>
      </c>
      <c r="O125" s="45" t="str">
        <f t="shared" si="11"/>
        <v/>
      </c>
      <c r="P125" s="8"/>
      <c r="Q125" s="8"/>
      <c r="T125" s="8" t="str">
        <f t="shared" si="6"/>
        <v>#EAF1DD</v>
      </c>
    </row>
    <row r="126" ht="25.5">
      <c r="A126" s="2" t="str">
        <f>CONCATENATE(Préfixes!$B$3,":P",ROW(A126))</f>
        <v>med:P126</v>
      </c>
      <c r="B126" s="2" t="s">
        <v>519</v>
      </c>
      <c r="C126" s="2" t="s">
        <v>104</v>
      </c>
      <c r="D126" s="2" t="b">
        <v>0</v>
      </c>
      <c r="E126" s="8" t="s">
        <v>520</v>
      </c>
      <c r="F126" s="8" t="s">
        <v>521</v>
      </c>
      <c r="G126" s="8"/>
      <c r="H126" s="48">
        <v>1</v>
      </c>
      <c r="I126" s="49">
        <v>1</v>
      </c>
      <c r="J126" s="2" t="s">
        <v>268</v>
      </c>
      <c r="K126" s="2" t="s">
        <v>264</v>
      </c>
      <c r="L126" s="2"/>
      <c r="M126" s="57" t="str">
        <f t="shared" si="9"/>
        <v>xsd:string</v>
      </c>
      <c r="N126" s="45" t="str">
        <f t="shared" si="10"/>
        <v/>
      </c>
      <c r="O126" s="45" t="str">
        <f t="shared" si="11"/>
        <v/>
      </c>
      <c r="P126" s="8"/>
      <c r="Q126" s="8"/>
      <c r="T126" s="8" t="str">
        <f t="shared" si="6"/>
        <v/>
      </c>
    </row>
    <row r="127" ht="76.5">
      <c r="A127" s="2" t="str">
        <f>CONCATENATE(Préfixes!$B$3,":P",ROW(A127))</f>
        <v>med:P127</v>
      </c>
      <c r="B127" s="2" t="s">
        <v>433</v>
      </c>
      <c r="C127" s="2" t="s">
        <v>104</v>
      </c>
      <c r="D127" s="8" t="b">
        <v>1</v>
      </c>
      <c r="E127" s="8" t="s">
        <v>522</v>
      </c>
      <c r="F127" s="8" t="s">
        <v>523</v>
      </c>
      <c r="G127" s="8"/>
      <c r="H127" s="48"/>
      <c r="I127" s="49">
        <v>1</v>
      </c>
      <c r="J127" s="2" t="s">
        <v>58</v>
      </c>
      <c r="K127" s="2" t="s">
        <v>116</v>
      </c>
      <c r="L127" s="2" t="s">
        <v>436</v>
      </c>
      <c r="M127" s="57" t="str">
        <f t="shared" si="9"/>
        <v/>
      </c>
      <c r="N127" s="45" t="str">
        <f t="shared" si="10"/>
        <v>med:Substance</v>
      </c>
      <c r="O127" s="45" t="str">
        <f t="shared" si="11"/>
        <v/>
      </c>
      <c r="P127" s="8"/>
      <c r="Q127" s="8"/>
      <c r="T127" s="8" t="str">
        <f t="shared" si="6"/>
        <v>#EAF1DD</v>
      </c>
    </row>
    <row r="128" ht="25.5">
      <c r="A128" s="2" t="str">
        <f>CONCATENATE(Préfixes!$B$3,":P",ROW(A128))</f>
        <v>med:P128</v>
      </c>
      <c r="B128" s="2" t="s">
        <v>437</v>
      </c>
      <c r="C128" s="2" t="s">
        <v>104</v>
      </c>
      <c r="D128" s="8" t="b">
        <v>1</v>
      </c>
      <c r="E128" s="8" t="s">
        <v>438</v>
      </c>
      <c r="F128" s="8" t="s">
        <v>524</v>
      </c>
      <c r="G128" s="8"/>
      <c r="H128" s="48"/>
      <c r="I128" s="49"/>
      <c r="J128" s="2" t="s">
        <v>58</v>
      </c>
      <c r="K128" s="2" t="s">
        <v>116</v>
      </c>
      <c r="M128" s="57" t="str">
        <f t="shared" si="9"/>
        <v/>
      </c>
      <c r="N128" s="45" t="str">
        <f t="shared" si="10"/>
        <v>med:Substance</v>
      </c>
      <c r="O128" s="45" t="str">
        <f t="shared" si="11"/>
        <v/>
      </c>
      <c r="P128" s="8"/>
      <c r="Q128" s="8"/>
      <c r="T128" s="8" t="str">
        <f t="shared" si="6"/>
        <v>#EAF1DD</v>
      </c>
    </row>
    <row r="129" ht="18">
      <c r="A129" s="65"/>
      <c r="B129" s="65" t="s">
        <v>525</v>
      </c>
      <c r="C129" s="65"/>
      <c r="D129" s="65"/>
      <c r="E129" s="65"/>
      <c r="F129" s="65"/>
      <c r="G129" s="65"/>
      <c r="H129" s="66"/>
      <c r="I129" s="67"/>
      <c r="J129" s="65"/>
      <c r="K129" s="65"/>
      <c r="L129" s="65"/>
      <c r="M129" s="65" t="str">
        <f t="shared" si="9"/>
        <v/>
      </c>
      <c r="N129" s="65"/>
      <c r="O129" s="65"/>
      <c r="P129" s="65"/>
      <c r="Q129" s="65"/>
      <c r="R129" s="65"/>
      <c r="S129" s="65"/>
      <c r="T129" s="65"/>
      <c r="U129" s="65"/>
      <c r="V129" s="65"/>
      <c r="W129" s="65"/>
      <c r="X129" s="65"/>
      <c r="Y129" s="65"/>
      <c r="Z129" s="65"/>
      <c r="AA129" s="65"/>
      <c r="AB129" s="65"/>
      <c r="AC129" s="65"/>
      <c r="AD129" s="65"/>
      <c r="AE129" s="65"/>
      <c r="AF129" s="65"/>
    </row>
    <row r="130" ht="12.75">
      <c r="A130" s="2" t="str">
        <f>CONCATENATE(Préfixes!$B$3,":P",ROW(A130))</f>
        <v>med:P130</v>
      </c>
      <c r="B130" s="2" t="s">
        <v>261</v>
      </c>
      <c r="C130" s="2" t="s">
        <v>73</v>
      </c>
      <c r="D130" s="8" t="b">
        <v>1</v>
      </c>
      <c r="E130" s="8" t="s">
        <v>262</v>
      </c>
      <c r="F130" s="8" t="s">
        <v>526</v>
      </c>
      <c r="G130" s="8"/>
      <c r="H130" s="48">
        <v>1</v>
      </c>
      <c r="I130" s="49">
        <v>1</v>
      </c>
      <c r="J130" s="2" t="s">
        <v>268</v>
      </c>
      <c r="K130" s="2" t="s">
        <v>264</v>
      </c>
      <c r="L130" s="2"/>
      <c r="M130" s="57" t="str">
        <f t="shared" si="9"/>
        <v>xsd:string</v>
      </c>
      <c r="N130" s="45"/>
      <c r="O130" s="45"/>
      <c r="P130" s="8"/>
      <c r="Q130" s="8"/>
      <c r="R130" s="2"/>
      <c r="T130" s="8" t="str">
        <f t="shared" si="6"/>
        <v>#EAF1DD</v>
      </c>
    </row>
    <row r="131" ht="89.25">
      <c r="A131" s="2" t="str">
        <f>CONCATENATE(Préfixes!$B$3,":P",ROW(A131))</f>
        <v>med:P131</v>
      </c>
      <c r="B131" s="2" t="s">
        <v>265</v>
      </c>
      <c r="C131" s="2" t="s">
        <v>73</v>
      </c>
      <c r="D131" s="8" t="b">
        <v>1</v>
      </c>
      <c r="E131" s="8" t="s">
        <v>527</v>
      </c>
      <c r="F131" s="8" t="s">
        <v>528</v>
      </c>
      <c r="G131" s="8"/>
      <c r="H131" s="48">
        <v>1</v>
      </c>
      <c r="I131" s="49">
        <v>1</v>
      </c>
      <c r="J131" s="2" t="s">
        <v>268</v>
      </c>
      <c r="K131" s="2" t="s">
        <v>269</v>
      </c>
      <c r="L131" s="2"/>
      <c r="M131" s="57" t="str">
        <f t="shared" si="9"/>
        <v>rdf:langString</v>
      </c>
      <c r="N131" s="45" t="str">
        <f t="shared" si="10"/>
        <v/>
      </c>
      <c r="O131" s="45" t="str">
        <f t="shared" si="11"/>
        <v/>
      </c>
      <c r="P131" s="8" t="s">
        <v>270</v>
      </c>
      <c r="Q131" s="8"/>
      <c r="T131" s="8" t="str">
        <f t="shared" si="6"/>
        <v>#EAF1DD</v>
      </c>
    </row>
    <row r="132" ht="38.25">
      <c r="A132" s="2" t="str">
        <f>CONCATENATE(Préfixes!$B$3,":P",ROW(A132))</f>
        <v>med:P132</v>
      </c>
      <c r="B132" s="2" t="s">
        <v>529</v>
      </c>
      <c r="C132" s="2" t="s">
        <v>73</v>
      </c>
      <c r="D132" s="8" t="b">
        <v>1</v>
      </c>
      <c r="E132" s="8" t="s">
        <v>530</v>
      </c>
      <c r="F132" s="8" t="s">
        <v>531</v>
      </c>
      <c r="G132" s="8"/>
      <c r="H132" s="48"/>
      <c r="I132" s="49"/>
      <c r="J132" s="2" t="s">
        <v>58</v>
      </c>
      <c r="K132" s="2" t="s">
        <v>51</v>
      </c>
      <c r="L132" s="2"/>
      <c r="M132" s="57" t="str">
        <f t="shared" si="9"/>
        <v/>
      </c>
      <c r="N132" s="45" t="str">
        <f t="shared" si="10"/>
        <v>med:SpecialitePharmaceutique</v>
      </c>
      <c r="O132" s="45" t="str">
        <f t="shared" si="11"/>
        <v/>
      </c>
      <c r="P132" s="8"/>
      <c r="Q132" s="8"/>
      <c r="T132" s="8" t="str">
        <f t="shared" si="6"/>
        <v>#EAF1DD</v>
      </c>
    </row>
    <row r="133" ht="12.75">
      <c r="A133" s="2" t="str">
        <f>CONCATENATE(Préfixes!$B$3,":P",ROW(A133))</f>
        <v>med:P133</v>
      </c>
      <c r="B133" s="2" t="s">
        <v>532</v>
      </c>
      <c r="C133" s="2" t="s">
        <v>73</v>
      </c>
      <c r="D133" s="8" t="b">
        <v>1</v>
      </c>
      <c r="E133" s="8" t="s">
        <v>533</v>
      </c>
      <c r="F133" s="8" t="s">
        <v>534</v>
      </c>
      <c r="G133" s="8"/>
      <c r="H133" s="48"/>
      <c r="I133" s="49"/>
      <c r="J133" s="2" t="s">
        <v>58</v>
      </c>
      <c r="K133" s="2" t="s">
        <v>51</v>
      </c>
      <c r="L133" s="2"/>
      <c r="M133" s="57" t="str">
        <f t="shared" si="9"/>
        <v/>
      </c>
      <c r="N133" s="45" t="str">
        <f t="shared" si="10"/>
        <v>med:SpecialitePharmaceutique</v>
      </c>
      <c r="O133" s="45" t="str">
        <f t="shared" si="11"/>
        <v/>
      </c>
      <c r="P133" s="8"/>
      <c r="Q133" s="8"/>
      <c r="T133" s="8" t="str">
        <f t="shared" si="6"/>
        <v>#EAF1DD</v>
      </c>
    </row>
    <row r="134" ht="25.5">
      <c r="A134" s="2" t="str">
        <f>CONCATENATE(Préfixes!$B$3,":P",ROW(A134))</f>
        <v>med:P134</v>
      </c>
      <c r="B134" s="2" t="s">
        <v>535</v>
      </c>
      <c r="C134" s="2" t="s">
        <v>73</v>
      </c>
      <c r="D134" s="8" t="b">
        <v>1</v>
      </c>
      <c r="E134" s="8" t="s">
        <v>536</v>
      </c>
      <c r="F134" s="8" t="s">
        <v>537</v>
      </c>
      <c r="G134" s="8"/>
      <c r="H134" s="48"/>
      <c r="I134" s="49"/>
      <c r="J134" s="2" t="s">
        <v>58</v>
      </c>
      <c r="K134" s="2" t="s">
        <v>51</v>
      </c>
      <c r="L134" s="2"/>
      <c r="M134" s="57" t="str">
        <f t="shared" si="9"/>
        <v/>
      </c>
      <c r="N134" s="45" t="str">
        <f t="shared" si="10"/>
        <v>med:SpecialitePharmaceutique</v>
      </c>
      <c r="O134" s="45" t="str">
        <f t="shared" si="11"/>
        <v/>
      </c>
      <c r="P134" s="8"/>
      <c r="Q134" s="8"/>
      <c r="T134" s="8" t="str">
        <f t="shared" si="6"/>
        <v>#EAF1DD</v>
      </c>
    </row>
    <row r="135" ht="18">
      <c r="A135" s="16"/>
      <c r="B135" s="16" t="s">
        <v>538</v>
      </c>
      <c r="C135" s="16"/>
      <c r="D135" s="16"/>
      <c r="E135" s="16"/>
      <c r="F135" s="16"/>
      <c r="G135" s="16"/>
      <c r="H135" s="76"/>
      <c r="I135" s="77"/>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row>
    <row r="136" ht="12.75">
      <c r="A136" s="2" t="str">
        <f>CONCATENATE(Préfixes!$B$3,":P",ROW(A136))</f>
        <v>med:P136</v>
      </c>
      <c r="B136" s="2" t="s">
        <v>539</v>
      </c>
      <c r="C136" s="2" t="s">
        <v>67</v>
      </c>
      <c r="D136" s="8" t="b">
        <v>1</v>
      </c>
      <c r="E136" s="8" t="s">
        <v>540</v>
      </c>
      <c r="F136" s="8" t="s">
        <v>541</v>
      </c>
      <c r="G136" s="8"/>
      <c r="H136" s="48">
        <v>1</v>
      </c>
      <c r="I136" s="49">
        <v>1</v>
      </c>
      <c r="J136" s="2" t="s">
        <v>268</v>
      </c>
      <c r="K136" s="2" t="s">
        <v>264</v>
      </c>
      <c r="L136" s="2"/>
      <c r="M136" s="57" t="str">
        <f t="shared" si="9"/>
        <v>xsd:string</v>
      </c>
      <c r="N136" s="45" t="str">
        <f t="shared" si="10"/>
        <v/>
      </c>
      <c r="O136" s="45" t="str">
        <f t="shared" si="11"/>
        <v/>
      </c>
      <c r="P136" s="8"/>
      <c r="Q136" s="8"/>
      <c r="T136" s="8" t="str">
        <f t="shared" si="6"/>
        <v>#EAF1DD</v>
      </c>
    </row>
    <row r="137" ht="12.75">
      <c r="A137" s="2" t="str">
        <f>CONCATENATE(Préfixes!$B$3,":P",ROW(A137))</f>
        <v>med:P137</v>
      </c>
      <c r="B137" s="2" t="s">
        <v>542</v>
      </c>
      <c r="C137" s="2" t="s">
        <v>67</v>
      </c>
      <c r="D137" s="8" t="b">
        <v>1</v>
      </c>
      <c r="E137" s="8" t="s">
        <v>543</v>
      </c>
      <c r="F137" s="8" t="s">
        <v>544</v>
      </c>
      <c r="G137" s="8"/>
      <c r="H137" s="48">
        <v>1</v>
      </c>
      <c r="I137" s="49">
        <v>1</v>
      </c>
      <c r="J137" s="2" t="s">
        <v>268</v>
      </c>
      <c r="K137" s="2" t="s">
        <v>264</v>
      </c>
      <c r="L137" s="2"/>
      <c r="M137" s="57" t="str">
        <f t="shared" si="9"/>
        <v>xsd:string</v>
      </c>
      <c r="N137" s="45" t="str">
        <f t="shared" si="10"/>
        <v/>
      </c>
      <c r="O137" s="45" t="str">
        <f t="shared" si="11"/>
        <v/>
      </c>
      <c r="P137" s="8"/>
      <c r="Q137" s="8"/>
      <c r="T137" s="8" t="str">
        <f t="shared" si="6"/>
        <v>#EAF1DD</v>
      </c>
    </row>
    <row r="138" ht="38.25">
      <c r="A138" s="2" t="str">
        <f>CONCATENATE(Préfixes!$B$3,":P",ROW(A138))</f>
        <v>med:P138</v>
      </c>
      <c r="B138" s="2" t="s">
        <v>265</v>
      </c>
      <c r="C138" s="2" t="s">
        <v>67</v>
      </c>
      <c r="D138" s="8" t="b">
        <v>1</v>
      </c>
      <c r="E138" s="8" t="s">
        <v>545</v>
      </c>
      <c r="F138" s="8" t="s">
        <v>546</v>
      </c>
      <c r="G138" s="8"/>
      <c r="H138" s="48">
        <v>1</v>
      </c>
      <c r="I138" s="49">
        <v>1</v>
      </c>
      <c r="J138" s="2" t="s">
        <v>268</v>
      </c>
      <c r="K138" s="2" t="s">
        <v>269</v>
      </c>
      <c r="L138" s="2"/>
      <c r="M138" s="57" t="str">
        <f t="shared" si="9"/>
        <v>rdf:langString</v>
      </c>
      <c r="N138" s="45" t="str">
        <f t="shared" si="10"/>
        <v/>
      </c>
      <c r="O138" s="45" t="str">
        <f t="shared" si="11"/>
        <v/>
      </c>
      <c r="P138" s="8" t="s">
        <v>270</v>
      </c>
      <c r="Q138" s="8"/>
      <c r="T138" s="8" t="str">
        <f t="shared" si="6"/>
        <v>#EAF1DD</v>
      </c>
    </row>
    <row r="139" ht="25.5">
      <c r="A139" s="2" t="str">
        <f>CONCATENATE(Préfixes!$B$3,":P",ROW(A139))</f>
        <v>med:P139</v>
      </c>
      <c r="B139" s="2" t="s">
        <v>547</v>
      </c>
      <c r="C139" s="2" t="s">
        <v>67</v>
      </c>
      <c r="D139" s="8" t="b">
        <v>1</v>
      </c>
      <c r="E139" s="8" t="s">
        <v>548</v>
      </c>
      <c r="F139" s="8" t="s">
        <v>549</v>
      </c>
      <c r="G139" s="8"/>
      <c r="H139" s="48">
        <v>1</v>
      </c>
      <c r="I139" s="49">
        <v>1</v>
      </c>
      <c r="J139" s="2" t="s">
        <v>58</v>
      </c>
      <c r="K139" s="2" t="s">
        <v>51</v>
      </c>
      <c r="L139" s="2"/>
      <c r="M139" s="57" t="str">
        <f t="shared" si="9"/>
        <v/>
      </c>
      <c r="N139" s="45" t="str">
        <f t="shared" si="10"/>
        <v>med:SpecialitePharmaceutique</v>
      </c>
      <c r="O139" s="45" t="str">
        <f t="shared" si="11"/>
        <v/>
      </c>
      <c r="P139" s="8"/>
      <c r="Q139" s="8"/>
      <c r="T139" s="8" t="str">
        <f t="shared" ref="T139:T202" si="13">IF(D139=TRUE,"#EAF1DD","")</f>
        <v>#EAF1DD</v>
      </c>
    </row>
    <row r="140" ht="38.25">
      <c r="A140" s="2" t="str">
        <f>CONCATENATE(Préfixes!$B$3,":P",ROW(A140))</f>
        <v>med:P140</v>
      </c>
      <c r="B140" s="2" t="s">
        <v>550</v>
      </c>
      <c r="C140" s="2" t="s">
        <v>67</v>
      </c>
      <c r="D140" s="8" t="b">
        <v>1</v>
      </c>
      <c r="E140" s="8" t="s">
        <v>551</v>
      </c>
      <c r="F140" s="8" t="s">
        <v>552</v>
      </c>
      <c r="G140" s="8"/>
      <c r="H140" s="48">
        <v>1</v>
      </c>
      <c r="I140" s="49"/>
      <c r="J140" s="2" t="s">
        <v>58</v>
      </c>
      <c r="K140" s="2" t="s">
        <v>61</v>
      </c>
      <c r="L140" s="2"/>
      <c r="M140" s="57" t="str">
        <f t="shared" si="9"/>
        <v/>
      </c>
      <c r="N140" s="45" t="str">
        <f t="shared" si="10"/>
        <v>med:Presentation</v>
      </c>
      <c r="O140" s="45" t="str">
        <f t="shared" si="11"/>
        <v/>
      </c>
      <c r="P140" s="8"/>
      <c r="Q140" s="8"/>
      <c r="T140" s="8" t="str">
        <f t="shared" si="13"/>
        <v>#EAF1DD</v>
      </c>
    </row>
    <row r="141" ht="38.25">
      <c r="A141" s="2" t="str">
        <f>CONCATENATE(Préfixes!$B$3,":P",ROW(A141))</f>
        <v>med:P141</v>
      </c>
      <c r="B141" s="2" t="s">
        <v>452</v>
      </c>
      <c r="C141" s="2" t="s">
        <v>67</v>
      </c>
      <c r="D141" s="2" t="b">
        <v>0</v>
      </c>
      <c r="E141" s="8" t="s">
        <v>453</v>
      </c>
      <c r="F141" s="8" t="s">
        <v>553</v>
      </c>
      <c r="G141" s="8"/>
      <c r="H141" s="48">
        <v>1</v>
      </c>
      <c r="I141" s="49"/>
      <c r="K141" s="64" t="s">
        <v>221</v>
      </c>
      <c r="L141" s="64"/>
      <c r="M141" s="57" t="str">
        <f t="shared" si="9"/>
        <v/>
      </c>
      <c r="N141" s="45" t="str">
        <f t="shared" si="10"/>
        <v/>
      </c>
      <c r="O141" s="45" t="str">
        <f t="shared" si="11"/>
        <v>med:BlankNode_LabelWithDates</v>
      </c>
      <c r="P141" s="8"/>
      <c r="Q141" s="8"/>
      <c r="T141" s="8" t="str">
        <f t="shared" si="13"/>
        <v/>
      </c>
    </row>
    <row r="142" ht="18">
      <c r="A142" s="16"/>
      <c r="B142" s="16" t="s">
        <v>554</v>
      </c>
      <c r="C142" s="16"/>
      <c r="D142" s="16"/>
      <c r="E142" s="16"/>
      <c r="F142" s="16"/>
      <c r="G142" s="16"/>
      <c r="H142" s="76"/>
      <c r="I142" s="77"/>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row>
    <row r="143" ht="12.75">
      <c r="A143" s="2" t="str">
        <f>CONCATENATE(Préfixes!$B$3,":P",ROW(A143))</f>
        <v>med:P143</v>
      </c>
      <c r="B143" s="2" t="s">
        <v>555</v>
      </c>
      <c r="C143" s="2" t="s">
        <v>61</v>
      </c>
      <c r="D143" s="8" t="b">
        <v>1</v>
      </c>
      <c r="E143" s="8" t="s">
        <v>556</v>
      </c>
      <c r="F143" s="8" t="s">
        <v>557</v>
      </c>
      <c r="G143" s="8"/>
      <c r="H143" s="48">
        <v>1</v>
      </c>
      <c r="I143" s="49">
        <v>1</v>
      </c>
      <c r="J143" s="2" t="s">
        <v>268</v>
      </c>
      <c r="K143" s="2" t="s">
        <v>264</v>
      </c>
      <c r="L143" s="2"/>
      <c r="M143" s="57" t="str">
        <f t="shared" si="9"/>
        <v>xsd:string</v>
      </c>
      <c r="N143" s="45" t="str">
        <f t="shared" si="10"/>
        <v/>
      </c>
      <c r="O143" s="45" t="str">
        <f t="shared" si="11"/>
        <v/>
      </c>
      <c r="P143" s="8"/>
      <c r="Q143" s="8"/>
      <c r="T143" s="8" t="str">
        <f t="shared" si="13"/>
        <v>#EAF1DD</v>
      </c>
    </row>
    <row r="144" ht="25.5">
      <c r="A144" s="2" t="str">
        <f>CONCATENATE(Préfixes!$B$3,":P",ROW(A144))</f>
        <v>med:P144</v>
      </c>
      <c r="B144" s="2" t="s">
        <v>558</v>
      </c>
      <c r="C144" s="2" t="s">
        <v>61</v>
      </c>
      <c r="D144" s="8" t="b">
        <v>1</v>
      </c>
      <c r="E144" s="8" t="s">
        <v>559</v>
      </c>
      <c r="F144" s="8" t="s">
        <v>560</v>
      </c>
      <c r="G144" s="8"/>
      <c r="H144" s="48"/>
      <c r="I144" s="49">
        <v>1</v>
      </c>
      <c r="J144" s="2" t="s">
        <v>268</v>
      </c>
      <c r="K144" s="2" t="s">
        <v>264</v>
      </c>
      <c r="L144" s="2"/>
      <c r="M144" s="57" t="str">
        <f t="shared" si="9"/>
        <v>xsd:string</v>
      </c>
      <c r="N144" s="45" t="str">
        <f t="shared" si="10"/>
        <v/>
      </c>
      <c r="O144" s="45" t="str">
        <f t="shared" si="11"/>
        <v/>
      </c>
      <c r="P144" s="8"/>
      <c r="Q144" s="8"/>
      <c r="T144" s="8" t="str">
        <f t="shared" si="13"/>
        <v>#EAF1DD</v>
      </c>
    </row>
    <row r="145" ht="38.25">
      <c r="A145" s="2" t="str">
        <f>CONCATENATE(Préfixes!$B$3,":P",ROW(A145))</f>
        <v>med:P145</v>
      </c>
      <c r="B145" s="2" t="s">
        <v>265</v>
      </c>
      <c r="C145" s="2" t="s">
        <v>61</v>
      </c>
      <c r="D145" s="8" t="b">
        <v>1</v>
      </c>
      <c r="E145" s="8" t="s">
        <v>561</v>
      </c>
      <c r="F145" s="8" t="s">
        <v>562</v>
      </c>
      <c r="G145" s="8"/>
      <c r="H145" s="48">
        <v>1</v>
      </c>
      <c r="I145" s="49">
        <v>1</v>
      </c>
      <c r="J145" s="2" t="s">
        <v>268</v>
      </c>
      <c r="K145" s="2" t="s">
        <v>269</v>
      </c>
      <c r="L145" s="2"/>
      <c r="M145" s="57" t="str">
        <f t="shared" si="9"/>
        <v>rdf:langString</v>
      </c>
      <c r="N145" s="45" t="str">
        <f t="shared" si="10"/>
        <v/>
      </c>
      <c r="O145" s="45" t="str">
        <f t="shared" si="11"/>
        <v/>
      </c>
      <c r="P145" s="8" t="s">
        <v>270</v>
      </c>
      <c r="Q145" s="8"/>
      <c r="R145" s="2" t="s">
        <v>271</v>
      </c>
      <c r="T145" s="8" t="str">
        <f t="shared" si="13"/>
        <v>#EAF1DD</v>
      </c>
    </row>
    <row r="146" ht="38.25">
      <c r="A146" s="2" t="str">
        <f>CONCATENATE(Préfixes!$B$3,":P",ROW(A146))</f>
        <v>med:P146</v>
      </c>
      <c r="B146" s="2" t="s">
        <v>563</v>
      </c>
      <c r="C146" s="2" t="s">
        <v>61</v>
      </c>
      <c r="D146" s="8" t="b">
        <v>1</v>
      </c>
      <c r="E146" s="8" t="s">
        <v>564</v>
      </c>
      <c r="F146" s="8" t="s">
        <v>565</v>
      </c>
      <c r="G146" s="8"/>
      <c r="H146" s="48">
        <v>1</v>
      </c>
      <c r="I146" s="49">
        <v>1</v>
      </c>
      <c r="J146" s="2" t="s">
        <v>268</v>
      </c>
      <c r="K146" s="2" t="s">
        <v>269</v>
      </c>
      <c r="L146" s="2"/>
      <c r="M146" s="57" t="str">
        <f t="shared" si="9"/>
        <v>rdf:langString</v>
      </c>
      <c r="N146" s="45" t="str">
        <f t="shared" si="10"/>
        <v/>
      </c>
      <c r="O146" s="45" t="str">
        <f t="shared" si="11"/>
        <v/>
      </c>
      <c r="P146" s="8"/>
      <c r="Q146" s="8"/>
      <c r="R146" s="2" t="s">
        <v>271</v>
      </c>
      <c r="T146" s="8" t="str">
        <f t="shared" si="13"/>
        <v>#EAF1DD</v>
      </c>
    </row>
    <row r="147" ht="25.5">
      <c r="A147" s="2" t="str">
        <f>CONCATENATE(Préfixes!$B$3,":P",ROW(A147))</f>
        <v>med:P147</v>
      </c>
      <c r="B147" s="2" t="s">
        <v>566</v>
      </c>
      <c r="C147" s="2" t="s">
        <v>61</v>
      </c>
      <c r="D147" s="8" t="b">
        <v>1</v>
      </c>
      <c r="E147" s="8" t="s">
        <v>567</v>
      </c>
      <c r="F147" s="8" t="s">
        <v>568</v>
      </c>
      <c r="G147" s="8"/>
      <c r="H147" s="48">
        <v>1</v>
      </c>
      <c r="I147" s="49">
        <v>1</v>
      </c>
      <c r="J147" s="2" t="s">
        <v>268</v>
      </c>
      <c r="K147" s="2" t="s">
        <v>569</v>
      </c>
      <c r="L147" s="2"/>
      <c r="M147" s="57" t="str">
        <f t="shared" si="9"/>
        <v>xsd:integer</v>
      </c>
      <c r="N147" s="45" t="str">
        <f t="shared" si="10"/>
        <v/>
      </c>
      <c r="O147" s="45" t="str">
        <f t="shared" si="11"/>
        <v/>
      </c>
      <c r="P147" s="8"/>
      <c r="Q147" s="8"/>
      <c r="T147" s="8" t="str">
        <f t="shared" si="13"/>
        <v>#EAF1DD</v>
      </c>
    </row>
    <row r="148" ht="51">
      <c r="A148" s="2" t="str">
        <f>CONCATENATE(Préfixes!$B$3,":P",ROW(A148))</f>
        <v>med:P148</v>
      </c>
      <c r="B148" s="2" t="s">
        <v>570</v>
      </c>
      <c r="C148" s="2" t="s">
        <v>61</v>
      </c>
      <c r="D148" s="8" t="b">
        <v>1</v>
      </c>
      <c r="E148" s="8" t="s">
        <v>571</v>
      </c>
      <c r="F148" s="8" t="s">
        <v>572</v>
      </c>
      <c r="G148" s="8"/>
      <c r="H148" s="48"/>
      <c r="I148" s="49"/>
      <c r="J148" s="2" t="s">
        <v>268</v>
      </c>
      <c r="K148" s="2" t="s">
        <v>264</v>
      </c>
      <c r="L148" s="2"/>
      <c r="M148" s="57" t="str">
        <f t="shared" si="9"/>
        <v>xsd:string</v>
      </c>
      <c r="N148" s="45" t="str">
        <f t="shared" si="10"/>
        <v/>
      </c>
      <c r="O148" s="45" t="str">
        <f t="shared" si="11"/>
        <v/>
      </c>
      <c r="P148" s="8"/>
      <c r="Q148" s="8"/>
      <c r="T148" s="8" t="str">
        <f t="shared" si="13"/>
        <v>#EAF1DD</v>
      </c>
    </row>
    <row r="149" ht="38.25">
      <c r="A149" s="2" t="str">
        <f>CONCATENATE(Préfixes!$B$3,":P",ROW(A149))</f>
        <v>med:P149</v>
      </c>
      <c r="B149" s="2" t="s">
        <v>573</v>
      </c>
      <c r="C149" s="2" t="s">
        <v>61</v>
      </c>
      <c r="D149" s="8" t="b">
        <v>1</v>
      </c>
      <c r="E149" s="8" t="s">
        <v>574</v>
      </c>
      <c r="F149" s="8" t="s">
        <v>575</v>
      </c>
      <c r="G149" s="8"/>
      <c r="H149" s="48">
        <v>1</v>
      </c>
      <c r="I149" s="49">
        <v>1</v>
      </c>
      <c r="J149" s="2" t="s">
        <v>58</v>
      </c>
      <c r="K149" s="2" t="s">
        <v>51</v>
      </c>
      <c r="L149" s="2"/>
      <c r="M149" s="57" t="str">
        <f t="shared" si="9"/>
        <v/>
      </c>
      <c r="N149" s="45" t="str">
        <f t="shared" si="10"/>
        <v>med:SpecialitePharmaceutique</v>
      </c>
      <c r="O149" s="45" t="str">
        <f t="shared" si="11"/>
        <v/>
      </c>
      <c r="P149" s="8"/>
      <c r="Q149" s="8"/>
      <c r="T149" s="8" t="str">
        <f t="shared" si="13"/>
        <v>#EAF1DD</v>
      </c>
    </row>
    <row r="150" ht="25.5">
      <c r="A150" s="2" t="str">
        <f>CONCATENATE(Préfixes!$B$3,":P",ROW(A150))</f>
        <v>med:P150</v>
      </c>
      <c r="B150" s="2" t="s">
        <v>576</v>
      </c>
      <c r="C150" s="2" t="s">
        <v>61</v>
      </c>
      <c r="D150" s="8" t="b">
        <v>1</v>
      </c>
      <c r="E150" s="8" t="s">
        <v>577</v>
      </c>
      <c r="F150" s="8" t="s">
        <v>578</v>
      </c>
      <c r="G150" s="8"/>
      <c r="H150" s="48">
        <v>1</v>
      </c>
      <c r="I150" s="49">
        <v>1</v>
      </c>
      <c r="J150" s="2" t="s">
        <v>58</v>
      </c>
      <c r="K150" s="2" t="s">
        <v>67</v>
      </c>
      <c r="L150" s="2"/>
      <c r="M150" s="57" t="str">
        <f t="shared" si="9"/>
        <v/>
      </c>
      <c r="N150" s="45" t="str">
        <f t="shared" si="10"/>
        <v>med:UniteCommuneDeDispensation</v>
      </c>
      <c r="O150" s="45" t="str">
        <f t="shared" si="11"/>
        <v/>
      </c>
      <c r="P150" s="8"/>
      <c r="Q150" s="8"/>
      <c r="T150" s="8" t="str">
        <f t="shared" si="13"/>
        <v>#EAF1DD</v>
      </c>
    </row>
    <row r="151" ht="63.75">
      <c r="A151" s="2" t="str">
        <f>CONCATENATE(Préfixes!$B$3,":P",ROW(A151))</f>
        <v>med:P151</v>
      </c>
      <c r="B151" s="2" t="s">
        <v>579</v>
      </c>
      <c r="C151" s="2" t="s">
        <v>61</v>
      </c>
      <c r="D151" s="8" t="b">
        <v>1</v>
      </c>
      <c r="E151" s="8" t="s">
        <v>580</v>
      </c>
      <c r="F151" s="8" t="s">
        <v>581</v>
      </c>
      <c r="G151" s="8"/>
      <c r="H151" s="48">
        <v>2</v>
      </c>
      <c r="I151" s="49">
        <v>2</v>
      </c>
      <c r="J151" s="2" t="s">
        <v>58</v>
      </c>
      <c r="M151" s="71" t="str">
        <f t="shared" si="9"/>
        <v/>
      </c>
      <c r="N151" s="2" t="str">
        <f t="shared" si="10"/>
        <v/>
      </c>
      <c r="O151" s="2" t="str">
        <f t="shared" si="11"/>
        <v/>
      </c>
      <c r="P151" s="8"/>
      <c r="Q151" s="8"/>
      <c r="T151" s="8" t="str">
        <f t="shared" si="13"/>
        <v>#EAF1DD</v>
      </c>
    </row>
    <row r="152" ht="89.25">
      <c r="A152" s="2" t="str">
        <f>CONCATENATE(Préfixes!$B$3,":P",ROW(A152))</f>
        <v>med:P152</v>
      </c>
      <c r="B152" s="2" t="s">
        <v>582</v>
      </c>
      <c r="C152" s="2" t="s">
        <v>61</v>
      </c>
      <c r="D152" s="2" t="b">
        <v>0</v>
      </c>
      <c r="E152" s="8" t="s">
        <v>583</v>
      </c>
      <c r="F152" s="8" t="s">
        <v>584</v>
      </c>
      <c r="G152" s="8"/>
      <c r="H152" s="48"/>
      <c r="I152" s="49"/>
      <c r="J152" s="2" t="s">
        <v>58</v>
      </c>
      <c r="K152" s="2" t="s">
        <v>159</v>
      </c>
      <c r="L152" s="2"/>
      <c r="M152" s="71" t="str">
        <f t="shared" si="9"/>
        <v/>
      </c>
      <c r="N152" s="2" t="str">
        <f t="shared" si="10"/>
        <v>med:PrescriptionEnDC</v>
      </c>
      <c r="O152" s="2" t="str">
        <f t="shared" si="11"/>
        <v/>
      </c>
      <c r="P152" s="8"/>
      <c r="Q152" s="8"/>
      <c r="T152" s="8" t="str">
        <f t="shared" si="13"/>
        <v/>
      </c>
    </row>
    <row r="153" ht="51">
      <c r="A153" s="2" t="str">
        <f>CONCATENATE(Préfixes!$B$3,":P",ROW(A153))</f>
        <v>med:P153</v>
      </c>
      <c r="B153" s="2" t="s">
        <v>585</v>
      </c>
      <c r="C153" s="2" t="s">
        <v>61</v>
      </c>
      <c r="D153" s="8" t="b">
        <v>1</v>
      </c>
      <c r="E153" s="8" t="s">
        <v>586</v>
      </c>
      <c r="F153" s="8" t="s">
        <v>587</v>
      </c>
      <c r="G153" s="8"/>
      <c r="H153" s="48"/>
      <c r="I153" s="49">
        <v>1</v>
      </c>
      <c r="J153" s="2" t="s">
        <v>268</v>
      </c>
      <c r="K153" s="2" t="s">
        <v>349</v>
      </c>
      <c r="L153" s="2"/>
      <c r="M153" s="71" t="str">
        <f t="shared" si="9"/>
        <v>xsd:decimal</v>
      </c>
      <c r="N153" s="2" t="str">
        <f t="shared" si="10"/>
        <v/>
      </c>
      <c r="O153" s="2" t="str">
        <f t="shared" si="11"/>
        <v/>
      </c>
      <c r="P153" s="8"/>
      <c r="Q153" s="8"/>
      <c r="T153" s="8" t="str">
        <f t="shared" si="13"/>
        <v>#EAF1DD</v>
      </c>
    </row>
    <row r="154" ht="25.5">
      <c r="A154" s="2" t="str">
        <f>CONCATENATE(Préfixes!$B$3,":P",ROW(A154))</f>
        <v>med:P154</v>
      </c>
      <c r="B154" s="2" t="s">
        <v>588</v>
      </c>
      <c r="C154" s="2" t="s">
        <v>61</v>
      </c>
      <c r="D154" s="8" t="b">
        <v>1</v>
      </c>
      <c r="E154" s="8" t="s">
        <v>589</v>
      </c>
      <c r="F154" s="8" t="s">
        <v>590</v>
      </c>
      <c r="G154" s="8"/>
      <c r="H154" s="48"/>
      <c r="I154" s="49">
        <v>1</v>
      </c>
      <c r="J154" s="2" t="s">
        <v>268</v>
      </c>
      <c r="K154" s="2" t="s">
        <v>353</v>
      </c>
      <c r="L154" s="2"/>
      <c r="M154" s="71" t="str">
        <f t="shared" si="9"/>
        <v>cdt:ucumunit</v>
      </c>
      <c r="N154" s="2" t="str">
        <f t="shared" si="10"/>
        <v/>
      </c>
      <c r="O154" s="2" t="str">
        <f t="shared" si="11"/>
        <v/>
      </c>
      <c r="P154" s="8"/>
      <c r="Q154" s="8"/>
      <c r="T154" s="8" t="str">
        <f t="shared" si="13"/>
        <v>#EAF1DD</v>
      </c>
    </row>
    <row r="155" ht="25.5">
      <c r="A155" s="2" t="str">
        <f>CONCATENATE(Préfixes!$B$3,":P",ROW(A155))</f>
        <v>med:P155</v>
      </c>
      <c r="B155" s="2" t="s">
        <v>430</v>
      </c>
      <c r="C155" s="2" t="s">
        <v>61</v>
      </c>
      <c r="D155" s="8" t="b">
        <v>1</v>
      </c>
      <c r="E155" s="8" t="s">
        <v>431</v>
      </c>
      <c r="F155" s="8" t="s">
        <v>591</v>
      </c>
      <c r="G155" s="8"/>
      <c r="H155" s="48"/>
      <c r="I155" s="49"/>
      <c r="J155" s="2" t="s">
        <v>58</v>
      </c>
      <c r="K155" s="2" t="s">
        <v>85</v>
      </c>
      <c r="L155" s="2"/>
      <c r="M155" s="71" t="str">
        <f t="shared" si="9"/>
        <v/>
      </c>
      <c r="N155" s="2" t="str">
        <f t="shared" si="10"/>
        <v>med:ElementPresentation</v>
      </c>
      <c r="O155" s="2" t="str">
        <f t="shared" si="11"/>
        <v/>
      </c>
      <c r="P155" s="8"/>
      <c r="Q155" s="8"/>
      <c r="T155" s="8" t="str">
        <f t="shared" si="13"/>
        <v>#EAF1DD</v>
      </c>
    </row>
    <row r="156" ht="38.25">
      <c r="A156" s="8" t="str">
        <f>CONCATENATE(Préfixes!$B$3,":P",ROW(A156))</f>
        <v>med:P156</v>
      </c>
      <c r="B156" s="8" t="s">
        <v>421</v>
      </c>
      <c r="C156" s="2" t="s">
        <v>61</v>
      </c>
      <c r="D156" s="8" t="b">
        <v>1</v>
      </c>
      <c r="E156" s="8" t="s">
        <v>422</v>
      </c>
      <c r="F156" s="8" t="s">
        <v>592</v>
      </c>
      <c r="G156" s="8"/>
      <c r="H156" s="68"/>
      <c r="I156" s="69"/>
      <c r="J156" s="8" t="s">
        <v>58</v>
      </c>
      <c r="K156" s="8" t="s">
        <v>188</v>
      </c>
      <c r="L156" s="8"/>
      <c r="M156" s="57" t="str">
        <f t="shared" si="9"/>
        <v/>
      </c>
      <c r="N156" s="45" t="str">
        <f t="shared" si="10"/>
        <v>med:Evenement</v>
      </c>
      <c r="O156" s="45" t="str">
        <f t="shared" si="11"/>
        <v/>
      </c>
      <c r="P156" s="8"/>
      <c r="Q156" s="8"/>
      <c r="R156" s="8"/>
      <c r="S156" s="8"/>
      <c r="T156" s="8" t="str">
        <f t="shared" si="13"/>
        <v>#EAF1DD</v>
      </c>
      <c r="U156" s="8"/>
      <c r="V156" s="8"/>
      <c r="W156" s="8"/>
      <c r="X156" s="8"/>
      <c r="Y156" s="8"/>
      <c r="Z156" s="8"/>
      <c r="AA156" s="8"/>
      <c r="AB156" s="8"/>
      <c r="AC156" s="8"/>
      <c r="AD156" s="8"/>
      <c r="AE156" s="8"/>
      <c r="AF156" s="8"/>
    </row>
    <row r="157" ht="51">
      <c r="A157" s="2" t="str">
        <f>CONCATENATE(Préfixes!$B$3,":P",ROW(A157))</f>
        <v>med:P157</v>
      </c>
      <c r="B157" s="2" t="s">
        <v>452</v>
      </c>
      <c r="C157" s="2" t="s">
        <v>61</v>
      </c>
      <c r="D157" s="2" t="b">
        <v>0</v>
      </c>
      <c r="E157" s="8" t="s">
        <v>593</v>
      </c>
      <c r="F157" s="8" t="s">
        <v>594</v>
      </c>
      <c r="G157" s="2"/>
      <c r="H157" s="48">
        <v>1</v>
      </c>
      <c r="I157" s="49"/>
      <c r="K157" s="64" t="s">
        <v>221</v>
      </c>
      <c r="L157" s="64"/>
      <c r="M157" s="57" t="str">
        <f t="shared" si="9"/>
        <v/>
      </c>
      <c r="N157" s="45" t="str">
        <f t="shared" si="10"/>
        <v/>
      </c>
      <c r="O157" s="45" t="str">
        <f t="shared" si="11"/>
        <v>med:BlankNode_LabelWithDates</v>
      </c>
      <c r="P157" s="2"/>
      <c r="Q157" s="2"/>
      <c r="R157" s="2"/>
      <c r="S157" s="2"/>
      <c r="T157" s="8" t="str">
        <f t="shared" si="13"/>
        <v/>
      </c>
      <c r="U157" s="2"/>
      <c r="V157" s="2"/>
      <c r="W157" s="2"/>
      <c r="X157" s="2"/>
      <c r="Y157" s="2"/>
      <c r="Z157" s="2"/>
      <c r="AA157" s="2"/>
      <c r="AB157" s="2"/>
      <c r="AC157" s="2"/>
      <c r="AD157" s="2"/>
      <c r="AE157" s="2"/>
      <c r="AF157" s="2"/>
    </row>
    <row r="158" ht="51">
      <c r="A158" s="2" t="str">
        <f>CONCATENATE(Préfixes!$B$3,":P",ROW(A158))</f>
        <v>med:P158</v>
      </c>
      <c r="B158" s="2" t="s">
        <v>595</v>
      </c>
      <c r="C158" s="2" t="s">
        <v>61</v>
      </c>
      <c r="D158" s="2" t="b">
        <v>0</v>
      </c>
      <c r="E158" s="8" t="s">
        <v>596</v>
      </c>
      <c r="F158" s="8" t="s">
        <v>597</v>
      </c>
      <c r="G158" s="2"/>
      <c r="H158" s="48">
        <v>1</v>
      </c>
      <c r="I158" s="49"/>
      <c r="K158" s="64" t="s">
        <v>221</v>
      </c>
      <c r="L158" s="64"/>
      <c r="M158" s="57" t="str">
        <f t="shared" si="9"/>
        <v/>
      </c>
      <c r="N158" s="45" t="str">
        <f t="shared" si="10"/>
        <v/>
      </c>
      <c r="O158" s="45" t="str">
        <f t="shared" si="11"/>
        <v>med:BlankNode_LabelWithDates</v>
      </c>
      <c r="P158" s="2"/>
      <c r="Q158" s="2"/>
      <c r="R158" s="2"/>
      <c r="S158" s="2"/>
      <c r="T158" s="8" t="str">
        <f t="shared" si="13"/>
        <v/>
      </c>
      <c r="U158" s="2"/>
      <c r="V158" s="2"/>
      <c r="W158" s="2"/>
      <c r="X158" s="2"/>
      <c r="Y158" s="2"/>
      <c r="Z158" s="2"/>
      <c r="AA158" s="2"/>
      <c r="AB158" s="2"/>
      <c r="AC158" s="2"/>
      <c r="AD158" s="2"/>
      <c r="AE158" s="2"/>
      <c r="AF158" s="2"/>
    </row>
    <row r="159" ht="51">
      <c r="A159" s="2" t="str">
        <f>CONCATENATE(Préfixes!$B$3,":P",ROW(A159))</f>
        <v>med:P159</v>
      </c>
      <c r="B159" s="2" t="s">
        <v>279</v>
      </c>
      <c r="C159" s="2" t="s">
        <v>61</v>
      </c>
      <c r="D159" s="2" t="b">
        <v>0</v>
      </c>
      <c r="E159" s="8" t="s">
        <v>280</v>
      </c>
      <c r="F159" s="8" t="s">
        <v>598</v>
      </c>
      <c r="G159" s="8"/>
      <c r="H159" s="48"/>
      <c r="I159" s="49"/>
      <c r="J159" s="2" t="s">
        <v>58</v>
      </c>
      <c r="K159" s="2" t="s">
        <v>96</v>
      </c>
      <c r="L159" s="2"/>
      <c r="M159" s="2" t="str">
        <f t="shared" si="9"/>
        <v/>
      </c>
      <c r="N159" s="2" t="str">
        <f t="shared" si="10"/>
        <v>med:DosagePresentation</v>
      </c>
      <c r="O159" s="2" t="str">
        <f t="shared" si="11"/>
        <v/>
      </c>
      <c r="P159" s="8"/>
      <c r="Q159" s="8"/>
      <c r="R159" s="2"/>
      <c r="S159" s="2"/>
      <c r="T159" s="8" t="str">
        <f t="shared" si="13"/>
        <v/>
      </c>
      <c r="U159" s="2"/>
      <c r="V159" s="2"/>
      <c r="W159" s="2"/>
      <c r="X159" s="2"/>
      <c r="Y159" s="2"/>
      <c r="Z159" s="2"/>
      <c r="AA159" s="2"/>
      <c r="AB159" s="2"/>
      <c r="AC159" s="2"/>
      <c r="AD159" s="2"/>
      <c r="AE159" s="2"/>
      <c r="AF159" s="2"/>
    </row>
    <row r="160" ht="51">
      <c r="A160" s="2" t="str">
        <f>CONCATENATE(Préfixes!$B$3,":P",ROW(A160))</f>
        <v>med:P160</v>
      </c>
      <c r="B160" s="2" t="s">
        <v>282</v>
      </c>
      <c r="C160" s="2" t="s">
        <v>61</v>
      </c>
      <c r="D160" s="2" t="b">
        <v>0</v>
      </c>
      <c r="E160" s="8" t="s">
        <v>283</v>
      </c>
      <c r="F160" s="8" t="s">
        <v>599</v>
      </c>
      <c r="G160" s="8"/>
      <c r="H160" s="48"/>
      <c r="I160" s="49"/>
      <c r="J160" s="2" t="s">
        <v>58</v>
      </c>
      <c r="K160" s="2" t="s">
        <v>91</v>
      </c>
      <c r="L160" s="2"/>
      <c r="M160" s="2" t="str">
        <f t="shared" si="9"/>
        <v/>
      </c>
      <c r="N160" s="2" t="str">
        <f t="shared" si="10"/>
        <v>med:DosageConcentration</v>
      </c>
      <c r="O160" s="2" t="str">
        <f t="shared" si="11"/>
        <v/>
      </c>
      <c r="P160" s="8"/>
      <c r="Q160" s="8"/>
      <c r="R160" s="2"/>
      <c r="S160" s="2"/>
      <c r="T160" s="8" t="str">
        <f t="shared" si="13"/>
        <v/>
      </c>
      <c r="U160" s="2"/>
      <c r="V160" s="2"/>
      <c r="W160" s="2"/>
      <c r="X160" s="2"/>
      <c r="Y160" s="2"/>
      <c r="Z160" s="2"/>
      <c r="AA160" s="2"/>
      <c r="AB160" s="2"/>
      <c r="AC160" s="2"/>
      <c r="AD160" s="2"/>
      <c r="AE160" s="2"/>
      <c r="AF160" s="2"/>
    </row>
    <row r="161" ht="12.75">
      <c r="A161" s="2" t="str">
        <f>CONCATENATE(Préfixes!$B$3,":P",ROW(A161))</f>
        <v>med:P161</v>
      </c>
      <c r="B161" s="2" t="s">
        <v>327</v>
      </c>
      <c r="C161" s="8" t="s">
        <v>61</v>
      </c>
      <c r="D161" s="8" t="b">
        <v>0</v>
      </c>
      <c r="E161" s="8" t="s">
        <v>328</v>
      </c>
      <c r="F161" s="8" t="s">
        <v>600</v>
      </c>
      <c r="G161" s="8"/>
      <c r="H161" s="48">
        <v>1</v>
      </c>
      <c r="I161" s="49"/>
      <c r="J161" s="2" t="s">
        <v>58</v>
      </c>
      <c r="K161" s="2" t="s">
        <v>120</v>
      </c>
      <c r="L161" s="2"/>
      <c r="M161" s="2" t="str">
        <f t="shared" si="9"/>
        <v/>
      </c>
      <c r="N161" s="2" t="str">
        <f t="shared" si="10"/>
        <v>med:Voie</v>
      </c>
      <c r="O161" s="2" t="str">
        <f t="shared" si="11"/>
        <v/>
      </c>
      <c r="P161" s="8"/>
      <c r="Q161" s="8"/>
      <c r="T161" s="8" t="str">
        <f t="shared" si="13"/>
        <v/>
      </c>
    </row>
    <row r="162" ht="76.5">
      <c r="A162" s="8" t="str">
        <f>CONCATENATE(Préfixes!$B$3,":P",ROW(A162))</f>
        <v>med:P162</v>
      </c>
      <c r="B162" s="8" t="s">
        <v>324</v>
      </c>
      <c r="C162" s="8" t="s">
        <v>61</v>
      </c>
      <c r="D162" s="8" t="b">
        <v>0</v>
      </c>
      <c r="E162" s="8" t="s">
        <v>325</v>
      </c>
      <c r="F162" s="8" t="s">
        <v>601</v>
      </c>
      <c r="G162" s="8"/>
      <c r="H162" s="68">
        <v>1</v>
      </c>
      <c r="I162" s="69">
        <v>1</v>
      </c>
      <c r="J162" s="8" t="s">
        <v>58</v>
      </c>
      <c r="K162" s="8" t="s">
        <v>123</v>
      </c>
      <c r="L162" s="8"/>
      <c r="M162" s="71" t="str">
        <f t="shared" si="9"/>
        <v/>
      </c>
      <c r="N162" s="2" t="str">
        <f t="shared" si="10"/>
        <v>med:Forme</v>
      </c>
      <c r="O162" s="2" t="str">
        <f t="shared" si="11"/>
        <v/>
      </c>
      <c r="P162" s="8"/>
      <c r="Q162" s="8"/>
      <c r="R162" s="8"/>
      <c r="S162" s="8"/>
      <c r="T162" s="8" t="str">
        <f t="shared" si="13"/>
        <v/>
      </c>
      <c r="U162" s="8"/>
      <c r="V162" s="8"/>
      <c r="W162" s="8"/>
      <c r="X162" s="8"/>
      <c r="Y162" s="8"/>
      <c r="Z162" s="8"/>
      <c r="AA162" s="8"/>
      <c r="AB162" s="8"/>
      <c r="AC162" s="8"/>
      <c r="AD162" s="8"/>
      <c r="AE162" s="8"/>
      <c r="AF162" s="8"/>
    </row>
    <row r="163" ht="18">
      <c r="A163" s="65"/>
      <c r="B163" s="65" t="s">
        <v>602</v>
      </c>
      <c r="C163" s="65"/>
      <c r="D163" s="65"/>
      <c r="E163" s="65"/>
      <c r="F163" s="65"/>
      <c r="G163" s="65"/>
      <c r="H163" s="66"/>
      <c r="I163" s="67"/>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row>
    <row r="164" ht="12.75">
      <c r="A164" s="8" t="str">
        <f>CONCATENATE(Préfixes!$B$3,":P",ROW(A164))</f>
        <v>med:P164</v>
      </c>
      <c r="B164" s="8" t="s">
        <v>492</v>
      </c>
      <c r="C164" s="8" t="s">
        <v>85</v>
      </c>
      <c r="D164" s="8" t="b">
        <v>1</v>
      </c>
      <c r="E164" s="8" t="s">
        <v>493</v>
      </c>
      <c r="F164" s="8" t="s">
        <v>603</v>
      </c>
      <c r="G164" s="8"/>
      <c r="H164" s="68">
        <v>1</v>
      </c>
      <c r="I164" s="69">
        <v>1</v>
      </c>
      <c r="J164" s="8" t="s">
        <v>58</v>
      </c>
      <c r="K164" s="2" t="s">
        <v>61</v>
      </c>
      <c r="L164" s="2"/>
      <c r="M164" s="71" t="str">
        <f t="shared" si="9"/>
        <v/>
      </c>
      <c r="N164" s="2" t="str">
        <f t="shared" si="10"/>
        <v>med:Presentation</v>
      </c>
      <c r="O164" s="2" t="str">
        <f t="shared" si="11"/>
        <v/>
      </c>
      <c r="P164" s="8"/>
      <c r="Q164" s="8"/>
      <c r="R164" s="8"/>
      <c r="S164" s="8"/>
      <c r="T164" s="8" t="str">
        <f t="shared" si="13"/>
        <v>#EAF1DD</v>
      </c>
      <c r="U164" s="8"/>
      <c r="V164" s="8"/>
      <c r="W164" s="8"/>
      <c r="X164" s="8"/>
      <c r="Y164" s="8"/>
      <c r="Z164" s="8"/>
      <c r="AA164" s="8"/>
      <c r="AB164" s="8"/>
      <c r="AC164" s="8"/>
      <c r="AD164" s="8"/>
      <c r="AE164" s="8"/>
      <c r="AF164" s="8"/>
    </row>
    <row r="165" ht="89.25">
      <c r="A165" s="8" t="str">
        <f>CONCATENATE(Préfixes!$B$3,":P",ROW(A165))</f>
        <v>med:P165</v>
      </c>
      <c r="B165" s="8" t="s">
        <v>579</v>
      </c>
      <c r="C165" s="8" t="s">
        <v>85</v>
      </c>
      <c r="D165" s="8" t="b">
        <v>1</v>
      </c>
      <c r="E165" s="8" t="s">
        <v>580</v>
      </c>
      <c r="F165" s="8" t="s">
        <v>604</v>
      </c>
      <c r="G165" s="8"/>
      <c r="H165" s="68">
        <v>2</v>
      </c>
      <c r="I165" s="69">
        <v>2</v>
      </c>
      <c r="J165" s="8" t="s">
        <v>58</v>
      </c>
      <c r="M165" s="71" t="str">
        <f t="shared" ref="M165:M228" si="14">IF(K165&lt;&gt;"",IF(OR(LEFT(K165,3)="rdf",LEFT(K165,3)="xsd",LEFT(K165,3)="cdt"),K165,""),"")</f>
        <v/>
      </c>
      <c r="N165" s="2" t="str">
        <f t="shared" ref="N165:N228" si="15">IF(K165&lt;&gt;"",IF(AND(M165="",LEFT(K165,13)&lt;&gt;"med:BlankNode"),K165,""),"")</f>
        <v/>
      </c>
      <c r="O165" s="2" t="str">
        <f t="shared" ref="O165:O228" si="16">IF(K165&lt;&gt;"",IF(AND(M165="",LEFT(K165,13)="med:BlankNode"),K165,""),"")</f>
        <v/>
      </c>
      <c r="P165" s="8"/>
      <c r="Q165" s="8"/>
      <c r="R165" s="8"/>
      <c r="S165" s="8"/>
      <c r="T165" s="8" t="str">
        <f t="shared" si="13"/>
        <v>#EAF1DD</v>
      </c>
      <c r="U165" s="8"/>
      <c r="V165" s="8"/>
      <c r="W165" s="8"/>
      <c r="X165" s="8"/>
      <c r="Y165" s="8"/>
      <c r="Z165" s="8"/>
      <c r="AA165" s="8"/>
      <c r="AB165" s="8"/>
      <c r="AC165" s="8"/>
      <c r="AD165" s="8"/>
      <c r="AE165" s="8"/>
      <c r="AF165" s="8"/>
    </row>
    <row r="166" ht="36.75" customHeight="1">
      <c r="A166" s="8" t="str">
        <f>CONCATENATE(Préfixes!$B$3,":P",ROW(A166))</f>
        <v>med:P166</v>
      </c>
      <c r="B166" s="8" t="s">
        <v>484</v>
      </c>
      <c r="C166" s="8" t="s">
        <v>85</v>
      </c>
      <c r="D166" s="8" t="b">
        <v>1</v>
      </c>
      <c r="E166" s="8" t="s">
        <v>485</v>
      </c>
      <c r="F166" s="8" t="s">
        <v>605</v>
      </c>
      <c r="G166" s="8"/>
      <c r="H166" s="68">
        <v>1</v>
      </c>
      <c r="I166" s="69">
        <v>1</v>
      </c>
      <c r="J166" s="8" t="s">
        <v>268</v>
      </c>
      <c r="K166" s="8" t="s">
        <v>264</v>
      </c>
      <c r="L166" s="8"/>
      <c r="M166" s="71" t="str">
        <f t="shared" si="14"/>
        <v>xsd:string</v>
      </c>
      <c r="N166" s="2" t="str">
        <f t="shared" si="15"/>
        <v/>
      </c>
      <c r="O166" s="2" t="str">
        <f t="shared" si="16"/>
        <v/>
      </c>
      <c r="P166" s="8"/>
      <c r="Q166" s="8"/>
      <c r="R166" s="8"/>
      <c r="S166" s="8"/>
      <c r="T166" s="8" t="str">
        <f t="shared" si="13"/>
        <v>#EAF1DD</v>
      </c>
      <c r="U166" s="8"/>
      <c r="V166" s="8"/>
      <c r="W166" s="8"/>
      <c r="X166" s="8"/>
      <c r="Y166" s="8"/>
      <c r="Z166" s="8"/>
      <c r="AA166" s="8"/>
      <c r="AB166" s="8"/>
      <c r="AC166" s="8"/>
      <c r="AD166" s="8"/>
      <c r="AE166" s="8"/>
      <c r="AF166" s="8"/>
    </row>
    <row r="167" ht="36.75" customHeight="1">
      <c r="A167" s="8" t="str">
        <f>CONCATENATE(Préfixes!$B$3,":P",ROW(A167))</f>
        <v>med:P167</v>
      </c>
      <c r="B167" s="8" t="s">
        <v>265</v>
      </c>
      <c r="C167" s="8" t="s">
        <v>85</v>
      </c>
      <c r="D167" s="8" t="b">
        <v>1</v>
      </c>
      <c r="E167" s="8" t="s">
        <v>266</v>
      </c>
      <c r="F167" s="8" t="s">
        <v>606</v>
      </c>
      <c r="G167" s="8"/>
      <c r="H167" s="68">
        <v>1</v>
      </c>
      <c r="I167" s="69">
        <v>1</v>
      </c>
      <c r="J167" s="8" t="s">
        <v>268</v>
      </c>
      <c r="K167" s="8" t="s">
        <v>269</v>
      </c>
      <c r="L167" s="8"/>
      <c r="M167" s="71" t="str">
        <f t="shared" si="14"/>
        <v>rdf:langString</v>
      </c>
      <c r="N167" s="2" t="str">
        <f t="shared" si="15"/>
        <v/>
      </c>
      <c r="O167" s="2" t="str">
        <f t="shared" si="16"/>
        <v/>
      </c>
      <c r="P167" s="8" t="s">
        <v>270</v>
      </c>
      <c r="Q167" s="8"/>
      <c r="R167" s="8"/>
      <c r="S167" s="8"/>
      <c r="T167" s="8" t="str">
        <f t="shared" si="13"/>
        <v>#EAF1DD</v>
      </c>
      <c r="U167" s="8"/>
      <c r="V167" s="8"/>
      <c r="W167" s="8"/>
      <c r="X167" s="8"/>
      <c r="Y167" s="8"/>
      <c r="Z167" s="8"/>
      <c r="AA167" s="8"/>
      <c r="AB167" s="8"/>
      <c r="AC167" s="8"/>
      <c r="AD167" s="8"/>
      <c r="AE167" s="8"/>
      <c r="AF167" s="8"/>
    </row>
    <row r="168" ht="38.25">
      <c r="A168" s="8" t="str">
        <f>CONCATENATE(Préfixes!$B$3,":P",ROW(A168))</f>
        <v>med:P168</v>
      </c>
      <c r="B168" s="8" t="s">
        <v>607</v>
      </c>
      <c r="C168" s="8" t="s">
        <v>85</v>
      </c>
      <c r="D168" s="8" t="b">
        <v>1</v>
      </c>
      <c r="E168" s="8" t="s">
        <v>608</v>
      </c>
      <c r="F168" s="8" t="s">
        <v>609</v>
      </c>
      <c r="G168" s="8"/>
      <c r="H168" s="68">
        <v>1</v>
      </c>
      <c r="I168" s="69">
        <v>1</v>
      </c>
      <c r="J168" s="8" t="s">
        <v>58</v>
      </c>
      <c r="K168" s="2" t="s">
        <v>78</v>
      </c>
      <c r="L168" s="2"/>
      <c r="M168" s="71" t="str">
        <f t="shared" si="14"/>
        <v/>
      </c>
      <c r="N168" s="2" t="str">
        <f t="shared" si="15"/>
        <v>med:Element</v>
      </c>
      <c r="O168" s="2" t="str">
        <f t="shared" si="16"/>
        <v/>
      </c>
      <c r="P168" s="8"/>
      <c r="Q168" s="8"/>
      <c r="R168" s="8"/>
      <c r="S168" s="8"/>
      <c r="T168" s="8" t="str">
        <f t="shared" si="13"/>
        <v>#EAF1DD</v>
      </c>
      <c r="U168" s="8"/>
      <c r="V168" s="8"/>
      <c r="W168" s="8"/>
      <c r="X168" s="8"/>
      <c r="Y168" s="8"/>
      <c r="Z168" s="8"/>
      <c r="AA168" s="8"/>
      <c r="AB168" s="8"/>
      <c r="AC168" s="8"/>
      <c r="AD168" s="8"/>
      <c r="AE168" s="8"/>
      <c r="AF168" s="8"/>
    </row>
    <row r="169" ht="51">
      <c r="A169" s="8" t="str">
        <f>CONCATENATE(Préfixes!$B$3,":P",ROW(A169))</f>
        <v>med:P169</v>
      </c>
      <c r="B169" s="8" t="s">
        <v>610</v>
      </c>
      <c r="C169" s="8" t="s">
        <v>85</v>
      </c>
      <c r="D169" s="8" t="b">
        <v>1</v>
      </c>
      <c r="E169" s="8" t="s">
        <v>611</v>
      </c>
      <c r="F169" s="8" t="s">
        <v>612</v>
      </c>
      <c r="G169" s="8"/>
      <c r="H169" s="68">
        <v>1</v>
      </c>
      <c r="I169" s="69">
        <v>1</v>
      </c>
      <c r="J169" s="8" t="s">
        <v>268</v>
      </c>
      <c r="K169" s="2" t="s">
        <v>264</v>
      </c>
      <c r="L169" s="2"/>
      <c r="M169" s="71" t="str">
        <f t="shared" si="14"/>
        <v>xsd:string</v>
      </c>
      <c r="N169" s="2" t="str">
        <f t="shared" si="15"/>
        <v/>
      </c>
      <c r="O169" s="2" t="str">
        <f t="shared" si="16"/>
        <v/>
      </c>
      <c r="P169" s="8"/>
      <c r="Q169" s="8"/>
      <c r="R169" s="8"/>
      <c r="S169" s="8"/>
      <c r="T169" s="8" t="str">
        <f t="shared" si="13"/>
        <v>#EAF1DD</v>
      </c>
      <c r="U169" s="8"/>
      <c r="V169" s="8"/>
      <c r="W169" s="8"/>
      <c r="X169" s="8"/>
      <c r="Y169" s="8"/>
      <c r="Z169" s="8"/>
      <c r="AA169" s="8"/>
      <c r="AB169" s="8"/>
      <c r="AC169" s="8"/>
      <c r="AD169" s="8"/>
      <c r="AE169" s="8"/>
      <c r="AF169" s="8"/>
    </row>
    <row r="170" ht="38.25">
      <c r="A170" s="8" t="str">
        <f>CONCATENATE(Préfixes!$B$3,":P",ROW(A170))</f>
        <v>med:P170</v>
      </c>
      <c r="B170" s="8" t="s">
        <v>613</v>
      </c>
      <c r="C170" s="8" t="s">
        <v>85</v>
      </c>
      <c r="D170" s="8" t="b">
        <v>0</v>
      </c>
      <c r="E170" s="8" t="s">
        <v>614</v>
      </c>
      <c r="F170" s="8" t="s">
        <v>615</v>
      </c>
      <c r="G170" s="8"/>
      <c r="H170" s="68">
        <v>1</v>
      </c>
      <c r="I170" s="69">
        <v>1</v>
      </c>
      <c r="J170" s="8" t="s">
        <v>58</v>
      </c>
      <c r="K170" s="2" t="s">
        <v>130</v>
      </c>
      <c r="L170" s="2"/>
      <c r="M170" s="71" t="str">
        <f t="shared" si="14"/>
        <v/>
      </c>
      <c r="N170" s="2" t="str">
        <f t="shared" si="15"/>
        <v>med:TypeContenant</v>
      </c>
      <c r="O170" s="2" t="str">
        <f t="shared" si="16"/>
        <v/>
      </c>
      <c r="P170" s="8"/>
      <c r="Q170" s="8"/>
      <c r="R170" s="8"/>
      <c r="S170" s="8"/>
      <c r="T170" s="8" t="str">
        <f t="shared" si="13"/>
        <v/>
      </c>
      <c r="U170" s="8"/>
      <c r="V170" s="8"/>
      <c r="W170" s="8"/>
      <c r="X170" s="8"/>
      <c r="Y170" s="8"/>
      <c r="Z170" s="8"/>
      <c r="AA170" s="8"/>
      <c r="AB170" s="8"/>
      <c r="AC170" s="8"/>
      <c r="AD170" s="8"/>
      <c r="AE170" s="8"/>
      <c r="AF170" s="8"/>
    </row>
    <row r="171" ht="102">
      <c r="A171" s="8" t="str">
        <f>CONCATENATE(Préfixes!$B$3,":P",ROW(A171))</f>
        <v>med:P171</v>
      </c>
      <c r="B171" s="8" t="s">
        <v>336</v>
      </c>
      <c r="C171" s="8" t="s">
        <v>85</v>
      </c>
      <c r="D171" s="8" t="b">
        <v>0</v>
      </c>
      <c r="E171" s="8" t="s">
        <v>337</v>
      </c>
      <c r="F171" s="8" t="s">
        <v>616</v>
      </c>
      <c r="G171" s="8"/>
      <c r="H171" s="68"/>
      <c r="I171" s="69"/>
      <c r="J171" s="8" t="s">
        <v>58</v>
      </c>
      <c r="K171" s="2" t="s">
        <v>182</v>
      </c>
      <c r="L171" s="2"/>
      <c r="M171" s="71" t="str">
        <f t="shared" si="14"/>
        <v/>
      </c>
      <c r="N171" s="2" t="str">
        <f t="shared" si="15"/>
        <v>med:PPhParSubstanceDosageForme</v>
      </c>
      <c r="O171" s="2" t="str">
        <f t="shared" si="16"/>
        <v/>
      </c>
      <c r="P171" s="8"/>
      <c r="Q171" s="8"/>
      <c r="R171" s="8"/>
      <c r="S171" s="8"/>
      <c r="T171" s="8" t="str">
        <f t="shared" si="13"/>
        <v/>
      </c>
      <c r="U171" s="8"/>
      <c r="V171" s="8"/>
      <c r="W171" s="8"/>
      <c r="X171" s="8"/>
      <c r="Y171" s="8"/>
      <c r="Z171" s="8"/>
      <c r="AA171" s="8"/>
      <c r="AB171" s="8"/>
      <c r="AC171" s="8"/>
      <c r="AD171" s="8"/>
      <c r="AE171" s="8"/>
      <c r="AF171" s="8"/>
    </row>
    <row r="172" ht="38.25">
      <c r="A172" s="8" t="str">
        <f>CONCATENATE(Préfixes!$B$3,":P",ROW(A172))</f>
        <v>med:P172</v>
      </c>
      <c r="B172" s="8" t="s">
        <v>617</v>
      </c>
      <c r="C172" s="8" t="s">
        <v>85</v>
      </c>
      <c r="D172" s="8" t="b">
        <v>0</v>
      </c>
      <c r="E172" s="8" t="s">
        <v>618</v>
      </c>
      <c r="F172" s="8" t="s">
        <v>619</v>
      </c>
      <c r="G172" s="8"/>
      <c r="H172" s="68"/>
      <c r="I172" s="69">
        <v>1</v>
      </c>
      <c r="J172" s="8" t="s">
        <v>58</v>
      </c>
      <c r="K172" s="2" t="s">
        <v>167</v>
      </c>
      <c r="L172" s="2"/>
      <c r="M172" s="71" t="str">
        <f t="shared" si="14"/>
        <v/>
      </c>
      <c r="N172" s="2" t="str">
        <f t="shared" si="15"/>
        <v>med:PPhParSubstance</v>
      </c>
      <c r="O172" s="2" t="str">
        <f t="shared" si="16"/>
        <v/>
      </c>
      <c r="P172" s="8"/>
      <c r="Q172" s="8"/>
      <c r="R172" s="8"/>
      <c r="S172" s="8"/>
      <c r="T172" s="8" t="str">
        <f t="shared" si="13"/>
        <v/>
      </c>
      <c r="U172" s="8"/>
      <c r="V172" s="8"/>
      <c r="W172" s="8"/>
      <c r="X172" s="8"/>
      <c r="Y172" s="8"/>
      <c r="Z172" s="8"/>
      <c r="AA172" s="8"/>
      <c r="AB172" s="8"/>
      <c r="AC172" s="8"/>
      <c r="AD172" s="8"/>
      <c r="AE172" s="8"/>
      <c r="AF172" s="8"/>
    </row>
    <row r="173" ht="12.75">
      <c r="A173" s="8" t="str">
        <f>CONCATENATE(Préfixes!$B$3,":P",ROW(A173))</f>
        <v>med:P173</v>
      </c>
      <c r="B173" s="8" t="s">
        <v>291</v>
      </c>
      <c r="C173" s="8" t="s">
        <v>85</v>
      </c>
      <c r="D173" s="8" t="b">
        <v>0</v>
      </c>
      <c r="E173" s="8" t="s">
        <v>292</v>
      </c>
      <c r="F173" s="8" t="s">
        <v>620</v>
      </c>
      <c r="G173" s="8"/>
      <c r="H173" s="68"/>
      <c r="I173" s="69"/>
      <c r="J173" s="8" t="s">
        <v>58</v>
      </c>
      <c r="K173" s="2" t="s">
        <v>123</v>
      </c>
      <c r="L173" s="2"/>
      <c r="M173" s="2" t="str">
        <f t="shared" si="14"/>
        <v/>
      </c>
      <c r="N173" s="2" t="str">
        <f t="shared" si="15"/>
        <v>med:Forme</v>
      </c>
      <c r="O173" s="2" t="str">
        <f t="shared" si="16"/>
        <v/>
      </c>
      <c r="P173" s="8"/>
      <c r="Q173" s="8"/>
      <c r="R173" s="8"/>
      <c r="S173" s="8"/>
      <c r="T173" s="8" t="str">
        <f t="shared" si="13"/>
        <v/>
      </c>
      <c r="U173" s="8"/>
      <c r="V173" s="8"/>
      <c r="W173" s="8"/>
      <c r="X173" s="8"/>
      <c r="Y173" s="8"/>
      <c r="Z173" s="8"/>
      <c r="AA173" s="8"/>
      <c r="AB173" s="8"/>
      <c r="AC173" s="8"/>
      <c r="AD173" s="8"/>
      <c r="AE173" s="8"/>
      <c r="AF173" s="8"/>
    </row>
    <row r="174" ht="76.5">
      <c r="A174" s="8" t="str">
        <f>CONCATENATE(Préfixes!$B$3,":P",ROW(A174))</f>
        <v>med:P174</v>
      </c>
      <c r="B174" s="8" t="s">
        <v>279</v>
      </c>
      <c r="C174" s="8" t="s">
        <v>85</v>
      </c>
      <c r="D174" s="8" t="b">
        <v>0</v>
      </c>
      <c r="E174" s="8" t="s">
        <v>280</v>
      </c>
      <c r="F174" s="70" t="s">
        <v>621</v>
      </c>
      <c r="G174" s="8"/>
      <c r="H174" s="68">
        <v>1</v>
      </c>
      <c r="I174" s="69"/>
      <c r="J174" s="8" t="s">
        <v>58</v>
      </c>
      <c r="K174" s="2" t="s">
        <v>96</v>
      </c>
      <c r="L174" s="2"/>
      <c r="M174" s="71" t="str">
        <f t="shared" si="14"/>
        <v/>
      </c>
      <c r="N174" s="2" t="str">
        <f t="shared" si="15"/>
        <v>med:DosagePresentation</v>
      </c>
      <c r="O174" s="2" t="str">
        <f t="shared" si="16"/>
        <v/>
      </c>
      <c r="P174" s="8"/>
      <c r="Q174" s="8"/>
      <c r="R174" s="8"/>
      <c r="S174" s="8"/>
      <c r="T174" s="8" t="str">
        <f t="shared" si="13"/>
        <v/>
      </c>
      <c r="U174" s="8"/>
      <c r="V174" s="8"/>
      <c r="W174" s="8"/>
      <c r="X174" s="8"/>
      <c r="Y174" s="8"/>
      <c r="Z174" s="8"/>
      <c r="AA174" s="8"/>
      <c r="AB174" s="8"/>
      <c r="AC174" s="8"/>
      <c r="AD174" s="8"/>
      <c r="AE174" s="8"/>
      <c r="AF174" s="8"/>
    </row>
    <row r="175" ht="12.75">
      <c r="A175" s="8" t="str">
        <f>CONCATENATE(Préfixes!$B$3,":P",ROW(A175))</f>
        <v>med:P175</v>
      </c>
      <c r="B175" s="8" t="s">
        <v>330</v>
      </c>
      <c r="C175" s="8" t="s">
        <v>85</v>
      </c>
      <c r="D175" s="8" t="b">
        <v>0</v>
      </c>
      <c r="E175" s="8" t="s">
        <v>331</v>
      </c>
      <c r="F175" s="8" t="s">
        <v>622</v>
      </c>
      <c r="G175" s="8"/>
      <c r="H175" s="68"/>
      <c r="I175" s="69"/>
      <c r="J175" s="8" t="s">
        <v>58</v>
      </c>
      <c r="K175" s="64" t="s">
        <v>127</v>
      </c>
      <c r="L175" s="64"/>
      <c r="M175" s="2" t="str">
        <f t="shared" si="14"/>
        <v/>
      </c>
      <c r="N175" s="2" t="str">
        <f t="shared" si="15"/>
        <v>med:UniteDePresentation</v>
      </c>
      <c r="O175" s="2" t="str">
        <f t="shared" si="16"/>
        <v/>
      </c>
      <c r="P175" s="8"/>
      <c r="Q175" s="8"/>
      <c r="R175" s="8"/>
      <c r="S175" s="8"/>
      <c r="T175" s="8" t="str">
        <f t="shared" si="13"/>
        <v/>
      </c>
      <c r="U175" s="8"/>
      <c r="V175" s="8"/>
      <c r="W175" s="8"/>
      <c r="X175" s="8"/>
      <c r="Y175" s="8"/>
      <c r="Z175" s="8"/>
      <c r="AA175" s="8"/>
      <c r="AB175" s="8"/>
      <c r="AC175" s="8"/>
      <c r="AD175" s="8"/>
      <c r="AE175" s="8"/>
      <c r="AF175" s="8"/>
    </row>
    <row r="176" ht="38.25">
      <c r="A176" s="8" t="str">
        <f>CONCATENATE(Préfixes!$B$3,":P",ROW(A176))</f>
        <v>med:P176</v>
      </c>
      <c r="B176" s="8" t="s">
        <v>623</v>
      </c>
      <c r="C176" s="8" t="s">
        <v>85</v>
      </c>
      <c r="D176" s="8" t="b">
        <v>0</v>
      </c>
      <c r="E176" s="8" t="s">
        <v>624</v>
      </c>
      <c r="F176" s="8" t="s">
        <v>625</v>
      </c>
      <c r="G176" s="8"/>
      <c r="H176" s="68"/>
      <c r="I176" s="69">
        <v>1</v>
      </c>
      <c r="J176" s="8" t="s">
        <v>58</v>
      </c>
      <c r="K176" s="64" t="s">
        <v>150</v>
      </c>
      <c r="L176" s="64"/>
      <c r="M176" s="2" t="str">
        <f t="shared" si="14"/>
        <v/>
      </c>
      <c r="N176" s="2" t="str">
        <f t="shared" si="15"/>
        <v>med:TypeDose</v>
      </c>
      <c r="O176" s="2" t="str">
        <f t="shared" si="16"/>
        <v/>
      </c>
      <c r="P176" s="8"/>
      <c r="Q176" s="8"/>
      <c r="R176" s="8"/>
      <c r="S176" s="8"/>
      <c r="T176" s="8" t="str">
        <f t="shared" si="13"/>
        <v/>
      </c>
      <c r="U176" s="8"/>
      <c r="V176" s="8"/>
      <c r="W176" s="8"/>
      <c r="X176" s="8"/>
      <c r="Y176" s="8"/>
      <c r="Z176" s="8"/>
      <c r="AA176" s="8"/>
      <c r="AB176" s="8"/>
      <c r="AC176" s="8"/>
      <c r="AD176" s="8"/>
      <c r="AE176" s="8"/>
      <c r="AF176" s="8"/>
    </row>
    <row r="177" ht="18" customHeight="1">
      <c r="A177" s="24"/>
      <c r="B177" s="24" t="s">
        <v>111</v>
      </c>
      <c r="C177" s="24"/>
      <c r="D177" s="24"/>
      <c r="E177" s="78"/>
      <c r="F177" s="78"/>
      <c r="G177" s="24"/>
      <c r="H177" s="79"/>
      <c r="I177" s="80"/>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row>
    <row r="178" ht="27.75" customHeight="1">
      <c r="A178" s="2" t="str">
        <f>CONCATENATE(Préfixes!$B$3,":P",ROW(A178))</f>
        <v>med:P178</v>
      </c>
      <c r="B178" s="2" t="s">
        <v>261</v>
      </c>
      <c r="C178" s="2" t="s">
        <v>110</v>
      </c>
      <c r="D178" s="8" t="b">
        <v>1</v>
      </c>
      <c r="E178" s="8" t="s">
        <v>262</v>
      </c>
      <c r="F178" s="8" t="s">
        <v>626</v>
      </c>
      <c r="G178" s="8"/>
      <c r="H178" s="48">
        <v>1</v>
      </c>
      <c r="I178" s="49">
        <v>1</v>
      </c>
      <c r="J178" s="2" t="s">
        <v>268</v>
      </c>
      <c r="K178" s="2" t="s">
        <v>264</v>
      </c>
      <c r="L178" s="2"/>
      <c r="M178" s="57" t="str">
        <f t="shared" si="14"/>
        <v>xsd:string</v>
      </c>
      <c r="N178" s="45"/>
      <c r="O178" s="45"/>
      <c r="P178" s="8"/>
      <c r="Q178" s="8"/>
      <c r="R178" s="2"/>
      <c r="S178" s="2"/>
      <c r="T178" s="8" t="str">
        <f t="shared" si="13"/>
        <v>#EAF1DD</v>
      </c>
      <c r="U178" s="2"/>
      <c r="V178" s="2"/>
      <c r="W178" s="2"/>
      <c r="X178" s="2"/>
      <c r="Y178" s="2"/>
      <c r="Z178" s="2"/>
      <c r="AA178" s="2"/>
      <c r="AB178" s="2"/>
      <c r="AC178" s="2"/>
      <c r="AD178" s="2"/>
      <c r="AE178" s="2"/>
      <c r="AF178" s="2"/>
    </row>
    <row r="179" ht="12.75">
      <c r="A179" s="2" t="str">
        <f>CONCATENATE(Préfixes!$B$3,":P",ROW(A179))</f>
        <v>med:P179</v>
      </c>
      <c r="B179" s="2" t="s">
        <v>265</v>
      </c>
      <c r="C179" s="2" t="s">
        <v>110</v>
      </c>
      <c r="D179" s="8" t="b">
        <v>1</v>
      </c>
      <c r="E179" s="8" t="s">
        <v>266</v>
      </c>
      <c r="F179" s="8" t="s">
        <v>627</v>
      </c>
      <c r="G179" s="8"/>
      <c r="H179" s="48">
        <v>1</v>
      </c>
      <c r="I179" s="49">
        <v>1</v>
      </c>
      <c r="J179" s="2" t="s">
        <v>268</v>
      </c>
      <c r="K179" s="2" t="s">
        <v>264</v>
      </c>
      <c r="L179" s="2"/>
      <c r="M179" s="57" t="str">
        <f t="shared" si="14"/>
        <v>xsd:string</v>
      </c>
      <c r="N179" s="45"/>
      <c r="O179" s="45"/>
      <c r="P179" s="8" t="s">
        <v>270</v>
      </c>
      <c r="Q179" s="8"/>
      <c r="R179" s="2"/>
      <c r="S179" s="2"/>
      <c r="T179" s="8" t="str">
        <f t="shared" si="13"/>
        <v>#EAF1DD</v>
      </c>
      <c r="U179" s="2"/>
      <c r="V179" s="2"/>
      <c r="W179" s="2"/>
      <c r="X179" s="2"/>
      <c r="Y179" s="2"/>
      <c r="Z179" s="2"/>
      <c r="AA179" s="2"/>
      <c r="AB179" s="2"/>
      <c r="AC179" s="2"/>
      <c r="AD179" s="2"/>
      <c r="AE179" s="2"/>
      <c r="AF179" s="2"/>
    </row>
    <row r="180" ht="12.75">
      <c r="A180" s="2" t="str">
        <f>CONCATENATE(Préfixes!$B$3,":P",ROW(A180))</f>
        <v>med:P180</v>
      </c>
      <c r="B180" s="2" t="s">
        <v>628</v>
      </c>
      <c r="C180" s="2" t="s">
        <v>110</v>
      </c>
      <c r="D180" s="8" t="b">
        <v>1</v>
      </c>
      <c r="E180" s="8" t="s">
        <v>629</v>
      </c>
      <c r="F180" s="8" t="s">
        <v>630</v>
      </c>
      <c r="G180" s="8"/>
      <c r="H180" s="48">
        <v>1</v>
      </c>
      <c r="I180" s="49">
        <v>1</v>
      </c>
      <c r="J180" s="2" t="s">
        <v>268</v>
      </c>
      <c r="K180" s="2" t="s">
        <v>269</v>
      </c>
      <c r="L180" s="2"/>
      <c r="M180" s="57" t="str">
        <f t="shared" si="14"/>
        <v>rdf:langString</v>
      </c>
      <c r="N180" s="45"/>
      <c r="O180" s="45"/>
      <c r="P180" s="8"/>
      <c r="Q180" s="8"/>
      <c r="R180" s="2"/>
      <c r="S180" s="2"/>
      <c r="T180" s="8" t="str">
        <f t="shared" si="13"/>
        <v>#EAF1DD</v>
      </c>
      <c r="U180" s="2"/>
      <c r="V180" s="2"/>
      <c r="W180" s="2"/>
      <c r="X180" s="2"/>
      <c r="Y180" s="2"/>
      <c r="Z180" s="2"/>
      <c r="AA180" s="2"/>
      <c r="AB180" s="2"/>
      <c r="AC180" s="2"/>
      <c r="AD180" s="2"/>
      <c r="AE180" s="2"/>
      <c r="AF180" s="2"/>
    </row>
    <row r="181" ht="18">
      <c r="A181" s="24"/>
      <c r="B181" s="24" t="s">
        <v>117</v>
      </c>
      <c r="C181" s="24"/>
      <c r="D181" s="24"/>
      <c r="E181" s="24"/>
      <c r="F181" s="24"/>
      <c r="G181" s="24"/>
      <c r="H181" s="79"/>
      <c r="I181" s="80"/>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row>
    <row r="182" ht="25.5">
      <c r="A182" s="2" t="str">
        <f>CONCATENATE(Préfixes!$B$3,":P",ROW(A182))</f>
        <v>med:P182</v>
      </c>
      <c r="B182" s="2" t="s">
        <v>261</v>
      </c>
      <c r="C182" s="2" t="s">
        <v>116</v>
      </c>
      <c r="D182" s="8" t="b">
        <v>1</v>
      </c>
      <c r="E182" s="8" t="s">
        <v>262</v>
      </c>
      <c r="F182" s="8" t="s">
        <v>631</v>
      </c>
      <c r="G182" s="8"/>
      <c r="H182" s="48">
        <v>1</v>
      </c>
      <c r="I182" s="49">
        <v>1</v>
      </c>
      <c r="J182" s="2" t="s">
        <v>268</v>
      </c>
      <c r="K182" s="2" t="s">
        <v>264</v>
      </c>
      <c r="L182" s="2"/>
      <c r="M182" s="57" t="str">
        <f t="shared" si="14"/>
        <v>xsd:string</v>
      </c>
      <c r="N182" s="45"/>
      <c r="O182" s="45"/>
      <c r="P182" s="8"/>
      <c r="Q182" s="8"/>
      <c r="R182" s="2"/>
      <c r="T182" s="8" t="str">
        <f t="shared" si="13"/>
        <v>#EAF1DD</v>
      </c>
    </row>
    <row r="183" ht="12.75">
      <c r="A183" s="2" t="str">
        <f>CONCATENATE(Préfixes!$B$3,":P",ROW(A183))</f>
        <v>med:P183</v>
      </c>
      <c r="B183" s="2" t="s">
        <v>632</v>
      </c>
      <c r="C183" s="2" t="s">
        <v>116</v>
      </c>
      <c r="D183" s="8" t="b">
        <v>1</v>
      </c>
      <c r="E183" s="8" t="s">
        <v>633</v>
      </c>
      <c r="F183" s="8" t="s">
        <v>634</v>
      </c>
      <c r="G183" s="8"/>
      <c r="H183" s="48">
        <v>1</v>
      </c>
      <c r="I183" s="49">
        <v>1</v>
      </c>
      <c r="J183" s="2" t="s">
        <v>268</v>
      </c>
      <c r="K183" s="2" t="s">
        <v>312</v>
      </c>
      <c r="L183" s="2"/>
      <c r="M183" s="71" t="str">
        <f t="shared" si="14"/>
        <v>xsd:date</v>
      </c>
      <c r="P183" s="8"/>
      <c r="Q183" s="8"/>
      <c r="R183" s="2"/>
      <c r="T183" s="8" t="str">
        <f t="shared" si="13"/>
        <v>#EAF1DD</v>
      </c>
    </row>
    <row r="184" ht="38.25">
      <c r="A184" s="2" t="str">
        <f>CONCATENATE(Préfixes!$B$3,":P",ROW(A184))</f>
        <v>med:P184</v>
      </c>
      <c r="B184" s="2" t="s">
        <v>635</v>
      </c>
      <c r="C184" s="2" t="s">
        <v>116</v>
      </c>
      <c r="D184" s="8" t="b">
        <v>1</v>
      </c>
      <c r="E184" s="8" t="s">
        <v>636</v>
      </c>
      <c r="F184" s="8" t="s">
        <v>637</v>
      </c>
      <c r="G184" s="8"/>
      <c r="H184" s="48"/>
      <c r="I184" s="49">
        <v>1</v>
      </c>
      <c r="J184" s="2" t="s">
        <v>268</v>
      </c>
      <c r="K184" s="2" t="s">
        <v>264</v>
      </c>
      <c r="L184" s="2"/>
      <c r="M184" s="57" t="str">
        <f t="shared" si="14"/>
        <v>xsd:string</v>
      </c>
      <c r="N184" s="45"/>
      <c r="O184" s="45"/>
      <c r="P184" s="8"/>
      <c r="Q184" s="8"/>
      <c r="R184" s="2"/>
      <c r="T184" s="8" t="str">
        <f t="shared" si="13"/>
        <v>#EAF1DD</v>
      </c>
    </row>
    <row r="185" ht="25.5">
      <c r="A185" s="2" t="str">
        <f>CONCATENATE(Préfixes!$B$3,":P",ROW(A185))</f>
        <v>med:P185</v>
      </c>
      <c r="B185" s="2" t="s">
        <v>265</v>
      </c>
      <c r="C185" s="2" t="s">
        <v>116</v>
      </c>
      <c r="D185" s="8" t="b">
        <v>1</v>
      </c>
      <c r="E185" s="8" t="s">
        <v>266</v>
      </c>
      <c r="F185" s="8" t="s">
        <v>638</v>
      </c>
      <c r="G185" s="8"/>
      <c r="H185" s="48">
        <v>1</v>
      </c>
      <c r="I185" s="49"/>
      <c r="J185" s="2" t="s">
        <v>268</v>
      </c>
      <c r="K185" s="2" t="s">
        <v>269</v>
      </c>
      <c r="L185" s="2"/>
      <c r="M185" s="57" t="str">
        <f t="shared" si="14"/>
        <v>rdf:langString</v>
      </c>
      <c r="N185" s="45" t="str">
        <f t="shared" si="15"/>
        <v/>
      </c>
      <c r="O185" s="45" t="str">
        <f t="shared" si="16"/>
        <v/>
      </c>
      <c r="P185" s="8" t="s">
        <v>270</v>
      </c>
      <c r="Q185" s="8"/>
      <c r="R185" s="2" t="s">
        <v>271</v>
      </c>
      <c r="T185" s="8" t="str">
        <f t="shared" si="13"/>
        <v>#EAF1DD</v>
      </c>
    </row>
    <row r="186" ht="12.75">
      <c r="A186" s="2" t="str">
        <f>CONCATENATE(Préfixes!$B$3,":P",ROW(A186))</f>
        <v>med:P186</v>
      </c>
      <c r="B186" s="2" t="s">
        <v>563</v>
      </c>
      <c r="C186" s="2" t="s">
        <v>116</v>
      </c>
      <c r="D186" s="8" t="b">
        <v>1</v>
      </c>
      <c r="E186" s="8" t="s">
        <v>639</v>
      </c>
      <c r="F186" s="8" t="s">
        <v>640</v>
      </c>
      <c r="G186" s="8"/>
      <c r="H186" s="48"/>
      <c r="I186" s="49"/>
      <c r="J186" s="2" t="s">
        <v>268</v>
      </c>
      <c r="K186" s="2" t="s">
        <v>269</v>
      </c>
      <c r="L186" s="2"/>
      <c r="M186" s="57" t="str">
        <f t="shared" si="14"/>
        <v>rdf:langString</v>
      </c>
      <c r="N186" s="45" t="str">
        <f t="shared" si="15"/>
        <v/>
      </c>
      <c r="O186" s="45" t="str">
        <f t="shared" si="16"/>
        <v/>
      </c>
      <c r="P186" s="8"/>
      <c r="Q186" s="8"/>
      <c r="R186" s="2" t="s">
        <v>271</v>
      </c>
      <c r="T186" s="8" t="str">
        <f t="shared" si="13"/>
        <v>#EAF1DD</v>
      </c>
    </row>
    <row r="187" ht="51">
      <c r="A187" s="2" t="str">
        <f>CONCATENATE(Préfixes!$B$3,":P",ROW(A187))</f>
        <v>med:P187</v>
      </c>
      <c r="B187" s="2" t="s">
        <v>641</v>
      </c>
      <c r="C187" s="2" t="s">
        <v>116</v>
      </c>
      <c r="D187" s="8" t="b">
        <v>1</v>
      </c>
      <c r="E187" s="8" t="s">
        <v>642</v>
      </c>
      <c r="F187" s="8" t="s">
        <v>643</v>
      </c>
      <c r="G187" s="8"/>
      <c r="H187" s="48"/>
      <c r="I187" s="49"/>
      <c r="J187" s="2" t="s">
        <v>58</v>
      </c>
      <c r="K187" s="2" t="s">
        <v>51</v>
      </c>
      <c r="L187" s="2"/>
      <c r="M187" s="57" t="str">
        <f t="shared" si="14"/>
        <v/>
      </c>
      <c r="N187" s="45" t="str">
        <f t="shared" si="15"/>
        <v>med:SpecialitePharmaceutique</v>
      </c>
      <c r="O187" s="45" t="str">
        <f t="shared" si="16"/>
        <v/>
      </c>
      <c r="P187" s="8"/>
      <c r="Q187" s="8"/>
      <c r="T187" s="8" t="str">
        <f t="shared" si="13"/>
        <v>#EAF1DD</v>
      </c>
    </row>
    <row r="188" ht="51">
      <c r="A188" s="2" t="str">
        <f>CONCATENATE(Préfixes!$B$3,":P",ROW(A188))</f>
        <v>med:P188</v>
      </c>
      <c r="B188" s="2" t="s">
        <v>644</v>
      </c>
      <c r="C188" s="2" t="s">
        <v>116</v>
      </c>
      <c r="D188" s="8" t="b">
        <v>1</v>
      </c>
      <c r="E188" s="8" t="s">
        <v>645</v>
      </c>
      <c r="F188" s="8" t="s">
        <v>646</v>
      </c>
      <c r="G188" s="8"/>
      <c r="H188" s="48"/>
      <c r="I188" s="49"/>
      <c r="J188" s="2" t="s">
        <v>58</v>
      </c>
      <c r="K188" s="2" t="s">
        <v>51</v>
      </c>
      <c r="L188" s="2"/>
      <c r="M188" s="57" t="str">
        <f t="shared" si="14"/>
        <v/>
      </c>
      <c r="N188" s="45" t="str">
        <f t="shared" si="15"/>
        <v>med:SpecialitePharmaceutique</v>
      </c>
      <c r="O188" s="45" t="str">
        <f t="shared" si="16"/>
        <v/>
      </c>
      <c r="P188" s="8"/>
      <c r="Q188" s="8"/>
      <c r="T188" s="8" t="str">
        <f t="shared" si="13"/>
        <v>#EAF1DD</v>
      </c>
    </row>
    <row r="189" ht="25.5">
      <c r="A189" s="2" t="str">
        <f>CONCATENATE(Préfixes!$B$3,":P",ROW(A189))</f>
        <v>med:P189</v>
      </c>
      <c r="B189" s="2" t="s">
        <v>398</v>
      </c>
      <c r="C189" s="2" t="s">
        <v>116</v>
      </c>
      <c r="D189" s="2" t="b">
        <v>1</v>
      </c>
      <c r="E189" s="8" t="s">
        <v>647</v>
      </c>
      <c r="F189" s="8" t="s">
        <v>648</v>
      </c>
      <c r="G189" s="8"/>
      <c r="H189" s="48"/>
      <c r="I189" s="49"/>
      <c r="J189" s="2" t="s">
        <v>58</v>
      </c>
      <c r="K189" s="2"/>
      <c r="L189" s="2"/>
      <c r="M189" s="71" t="str">
        <f t="shared" si="14"/>
        <v/>
      </c>
      <c r="N189" s="2" t="str">
        <f t="shared" si="15"/>
        <v/>
      </c>
      <c r="O189" s="2" t="str">
        <f t="shared" si="16"/>
        <v/>
      </c>
      <c r="P189" s="8"/>
      <c r="Q189" s="8"/>
      <c r="T189" s="8" t="str">
        <f t="shared" si="13"/>
        <v>#EAF1DD</v>
      </c>
    </row>
    <row r="190" ht="18">
      <c r="A190" s="24"/>
      <c r="B190" s="24" t="s">
        <v>649</v>
      </c>
      <c r="C190" s="24"/>
      <c r="D190" s="24"/>
      <c r="E190" s="24"/>
      <c r="F190" s="24"/>
      <c r="G190" s="24"/>
      <c r="H190" s="79"/>
      <c r="I190" s="80"/>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row>
    <row r="191" ht="12.75">
      <c r="A191" s="2" t="str">
        <f>CONCATENATE(Préfixes!$B$3,":P",ROW(A191))</f>
        <v>med:P191</v>
      </c>
      <c r="B191" s="2" t="s">
        <v>261</v>
      </c>
      <c r="C191" s="2" t="s">
        <v>120</v>
      </c>
      <c r="D191" s="8" t="b">
        <v>1</v>
      </c>
      <c r="E191" s="8" t="s">
        <v>262</v>
      </c>
      <c r="F191" s="8" t="s">
        <v>650</v>
      </c>
      <c r="G191" s="8"/>
      <c r="H191" s="48">
        <v>1</v>
      </c>
      <c r="I191" s="49">
        <v>1</v>
      </c>
      <c r="J191" s="2" t="s">
        <v>268</v>
      </c>
      <c r="K191" s="2" t="s">
        <v>264</v>
      </c>
      <c r="L191" s="2"/>
      <c r="M191" s="57" t="str">
        <f t="shared" si="14"/>
        <v>xsd:string</v>
      </c>
      <c r="N191" s="45"/>
      <c r="O191" s="45"/>
      <c r="P191" s="8"/>
      <c r="Q191" s="8"/>
      <c r="R191" s="2"/>
      <c r="T191" s="8" t="str">
        <f t="shared" si="13"/>
        <v>#EAF1DD</v>
      </c>
    </row>
    <row r="192" ht="12.75">
      <c r="A192" s="2" t="str">
        <f>CONCATENATE(Préfixes!$B$3,":P",ROW(A192))</f>
        <v>med:P192</v>
      </c>
      <c r="B192" s="2" t="s">
        <v>265</v>
      </c>
      <c r="C192" s="2" t="s">
        <v>120</v>
      </c>
      <c r="D192" s="8" t="b">
        <v>1</v>
      </c>
      <c r="E192" s="8" t="s">
        <v>266</v>
      </c>
      <c r="F192" s="8" t="s">
        <v>651</v>
      </c>
      <c r="G192" s="8"/>
      <c r="H192" s="48">
        <v>1</v>
      </c>
      <c r="I192" s="49"/>
      <c r="J192" s="2" t="s">
        <v>268</v>
      </c>
      <c r="K192" s="2" t="s">
        <v>269</v>
      </c>
      <c r="L192" s="2"/>
      <c r="M192" s="57" t="str">
        <f t="shared" si="14"/>
        <v>rdf:langString</v>
      </c>
      <c r="N192" s="45" t="str">
        <f t="shared" si="15"/>
        <v/>
      </c>
      <c r="O192" s="45" t="str">
        <f t="shared" si="16"/>
        <v/>
      </c>
      <c r="P192" s="8" t="s">
        <v>270</v>
      </c>
      <c r="Q192" s="8"/>
      <c r="R192" s="2" t="s">
        <v>271</v>
      </c>
      <c r="T192" s="8" t="str">
        <f t="shared" si="13"/>
        <v>#EAF1DD</v>
      </c>
    </row>
    <row r="193" ht="12.75">
      <c r="A193" s="2" t="str">
        <f>CONCATENATE(Préfixes!$B$3,":P",ROW(A193))</f>
        <v>med:P193</v>
      </c>
      <c r="B193" s="2" t="s">
        <v>652</v>
      </c>
      <c r="C193" s="2" t="s">
        <v>120</v>
      </c>
      <c r="D193" s="8" t="b">
        <v>1</v>
      </c>
      <c r="E193" s="8" t="s">
        <v>653</v>
      </c>
      <c r="F193" s="8" t="s">
        <v>654</v>
      </c>
      <c r="G193" s="8"/>
      <c r="H193" s="48"/>
      <c r="I193" s="49">
        <v>1</v>
      </c>
      <c r="J193" s="2" t="s">
        <v>268</v>
      </c>
      <c r="K193" s="2" t="s">
        <v>264</v>
      </c>
      <c r="L193" s="2"/>
      <c r="M193" s="57" t="str">
        <f t="shared" si="14"/>
        <v>xsd:string</v>
      </c>
      <c r="N193" s="45" t="str">
        <f t="shared" si="15"/>
        <v/>
      </c>
      <c r="O193" s="45" t="str">
        <f t="shared" si="16"/>
        <v/>
      </c>
      <c r="P193" s="8"/>
      <c r="Q193" s="8"/>
      <c r="R193" s="2"/>
      <c r="T193" s="8" t="str">
        <f t="shared" si="13"/>
        <v>#EAF1DD</v>
      </c>
    </row>
    <row r="194" ht="12.75">
      <c r="A194" s="2" t="str">
        <f>CONCATENATE(Préfixes!$B$3,":P",ROW(A194))</f>
        <v>med:P194</v>
      </c>
      <c r="B194" s="2" t="s">
        <v>655</v>
      </c>
      <c r="C194" s="2" t="s">
        <v>120</v>
      </c>
      <c r="D194" s="8" t="b">
        <v>1</v>
      </c>
      <c r="E194" s="8" t="s">
        <v>656</v>
      </c>
      <c r="F194" s="8" t="s">
        <v>657</v>
      </c>
      <c r="G194" s="8"/>
      <c r="H194" s="48"/>
      <c r="I194" s="49">
        <v>1</v>
      </c>
      <c r="J194" s="2" t="s">
        <v>268</v>
      </c>
      <c r="K194" s="2" t="s">
        <v>264</v>
      </c>
      <c r="L194" s="2"/>
      <c r="M194" s="57" t="str">
        <f t="shared" si="14"/>
        <v>xsd:string</v>
      </c>
      <c r="N194" s="45" t="str">
        <f t="shared" si="15"/>
        <v/>
      </c>
      <c r="O194" s="45" t="str">
        <f t="shared" si="16"/>
        <v/>
      </c>
      <c r="P194" s="8"/>
      <c r="Q194" s="8"/>
      <c r="R194" s="2"/>
      <c r="T194" s="8" t="str">
        <f t="shared" si="13"/>
        <v>#EAF1DD</v>
      </c>
    </row>
    <row r="195" ht="25.5">
      <c r="A195" s="2" t="str">
        <f>CONCATENATE(Préfixes!$B$3,":P",ROW(A195))</f>
        <v>med:P195</v>
      </c>
      <c r="B195" s="2" t="s">
        <v>398</v>
      </c>
      <c r="C195" s="2" t="s">
        <v>120</v>
      </c>
      <c r="D195" s="8" t="b">
        <v>1</v>
      </c>
      <c r="E195" s="8" t="s">
        <v>658</v>
      </c>
      <c r="F195" s="8" t="s">
        <v>659</v>
      </c>
      <c r="G195" s="8"/>
      <c r="H195" s="48"/>
      <c r="I195" s="49"/>
      <c r="J195" s="2" t="s">
        <v>58</v>
      </c>
      <c r="K195" s="2"/>
      <c r="L195" s="2"/>
      <c r="M195" s="71" t="str">
        <f t="shared" si="14"/>
        <v/>
      </c>
      <c r="N195" s="2" t="str">
        <f t="shared" si="15"/>
        <v/>
      </c>
      <c r="O195" s="2" t="str">
        <f t="shared" si="16"/>
        <v/>
      </c>
      <c r="P195" s="8"/>
      <c r="Q195" s="8"/>
      <c r="R195" s="2"/>
      <c r="T195" s="8" t="str">
        <f t="shared" si="13"/>
        <v>#EAF1DD</v>
      </c>
    </row>
    <row r="196" ht="18">
      <c r="A196" s="24"/>
      <c r="B196" s="24" t="s">
        <v>124</v>
      </c>
      <c r="C196" s="24"/>
      <c r="D196" s="24"/>
      <c r="E196" s="24"/>
      <c r="F196" s="24"/>
      <c r="G196" s="24"/>
      <c r="H196" s="79"/>
      <c r="I196" s="80"/>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row>
    <row r="197" ht="12.75">
      <c r="A197" s="2" t="str">
        <f>CONCATENATE(Préfixes!$B$3,":P",ROW(A197))</f>
        <v>med:P197</v>
      </c>
      <c r="B197" s="2" t="s">
        <v>261</v>
      </c>
      <c r="C197" s="2" t="s">
        <v>123</v>
      </c>
      <c r="D197" s="2"/>
      <c r="E197" s="8" t="s">
        <v>262</v>
      </c>
      <c r="F197" s="8" t="s">
        <v>660</v>
      </c>
      <c r="G197" s="8"/>
      <c r="H197" s="48">
        <v>1</v>
      </c>
      <c r="I197" s="49">
        <v>1</v>
      </c>
      <c r="J197" s="2" t="s">
        <v>268</v>
      </c>
      <c r="K197" s="2" t="s">
        <v>264</v>
      </c>
      <c r="L197" s="2"/>
      <c r="M197" s="57" t="str">
        <f t="shared" si="14"/>
        <v>xsd:string</v>
      </c>
      <c r="N197" s="45"/>
      <c r="O197" s="45"/>
      <c r="P197" s="8"/>
      <c r="Q197" s="8"/>
      <c r="R197" s="2"/>
      <c r="T197" s="8" t="str">
        <f t="shared" si="13"/>
        <v/>
      </c>
    </row>
    <row r="198" ht="12.75">
      <c r="A198" s="2" t="str">
        <f>CONCATENATE(Préfixes!$B$3,":P",ROW(A198))</f>
        <v>med:P198</v>
      </c>
      <c r="B198" s="2" t="s">
        <v>265</v>
      </c>
      <c r="C198" s="2" t="s">
        <v>123</v>
      </c>
      <c r="D198" s="2"/>
      <c r="E198" s="8" t="s">
        <v>266</v>
      </c>
      <c r="F198" s="8" t="s">
        <v>661</v>
      </c>
      <c r="G198" s="8"/>
      <c r="H198" s="48">
        <v>1</v>
      </c>
      <c r="I198" s="49"/>
      <c r="J198" s="2" t="s">
        <v>268</v>
      </c>
      <c r="K198" s="2" t="s">
        <v>269</v>
      </c>
      <c r="L198" s="2"/>
      <c r="M198" s="57" t="str">
        <f t="shared" si="14"/>
        <v>rdf:langString</v>
      </c>
      <c r="N198" s="45" t="str">
        <f t="shared" si="15"/>
        <v/>
      </c>
      <c r="O198" s="45" t="str">
        <f t="shared" si="16"/>
        <v/>
      </c>
      <c r="P198" s="8" t="s">
        <v>270</v>
      </c>
      <c r="Q198" s="8"/>
      <c r="R198" s="2" t="s">
        <v>271</v>
      </c>
      <c r="T198" s="8" t="str">
        <f t="shared" si="13"/>
        <v/>
      </c>
    </row>
    <row r="199" ht="25.5">
      <c r="A199" s="2" t="str">
        <f>CONCATENATE(Préfixes!$B$3,":P",ROW(A199))</f>
        <v>med:P199</v>
      </c>
      <c r="B199" s="2" t="s">
        <v>398</v>
      </c>
      <c r="C199" s="2" t="s">
        <v>123</v>
      </c>
      <c r="D199" s="2"/>
      <c r="E199" s="8" t="s">
        <v>662</v>
      </c>
      <c r="F199" s="8" t="s">
        <v>663</v>
      </c>
      <c r="G199" s="8"/>
      <c r="H199" s="48"/>
      <c r="I199" s="49"/>
      <c r="J199" s="2" t="s">
        <v>58</v>
      </c>
      <c r="K199" s="2"/>
      <c r="L199" s="2"/>
      <c r="M199" s="71" t="str">
        <f t="shared" si="14"/>
        <v/>
      </c>
      <c r="N199" s="2" t="str">
        <f t="shared" si="15"/>
        <v/>
      </c>
      <c r="O199" s="2" t="str">
        <f t="shared" si="16"/>
        <v/>
      </c>
      <c r="P199" s="8"/>
      <c r="Q199" s="8"/>
      <c r="R199" s="2"/>
      <c r="T199" s="8" t="str">
        <f t="shared" si="13"/>
        <v/>
      </c>
    </row>
    <row r="200" ht="20.25" customHeight="1">
      <c r="A200" s="24"/>
      <c r="B200" s="24" t="s">
        <v>664</v>
      </c>
      <c r="C200" s="24"/>
      <c r="D200" s="24"/>
      <c r="E200" s="24"/>
      <c r="F200" s="24"/>
      <c r="G200" s="24"/>
      <c r="H200" s="79"/>
      <c r="I200" s="80"/>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row>
    <row r="201" ht="25.5">
      <c r="A201" s="2" t="str">
        <f>CONCATENATE(Préfixes!$B$3,":P",ROW(A201))</f>
        <v>med:P201</v>
      </c>
      <c r="B201" s="2" t="s">
        <v>261</v>
      </c>
      <c r="C201" s="2" t="s">
        <v>127</v>
      </c>
      <c r="D201" s="2" t="b">
        <v>0</v>
      </c>
      <c r="E201" s="8" t="s">
        <v>262</v>
      </c>
      <c r="F201" s="8" t="s">
        <v>665</v>
      </c>
      <c r="G201" s="8"/>
      <c r="H201" s="48">
        <v>1</v>
      </c>
      <c r="I201" s="49">
        <v>1</v>
      </c>
      <c r="J201" s="2" t="s">
        <v>268</v>
      </c>
      <c r="K201" s="2" t="s">
        <v>264</v>
      </c>
      <c r="L201" s="2"/>
      <c r="M201" s="57" t="str">
        <f t="shared" si="14"/>
        <v>xsd:string</v>
      </c>
      <c r="N201" s="45"/>
      <c r="O201" s="45"/>
      <c r="P201" s="8"/>
      <c r="Q201" s="8"/>
      <c r="R201" s="2"/>
      <c r="T201" s="8" t="str">
        <f t="shared" si="13"/>
        <v/>
      </c>
    </row>
    <row r="202" ht="12.75">
      <c r="A202" s="2" t="str">
        <f>CONCATENATE(Préfixes!$B$3,":P",ROW(A202))</f>
        <v>med:P202</v>
      </c>
      <c r="B202" s="2" t="s">
        <v>265</v>
      </c>
      <c r="C202" s="2" t="s">
        <v>127</v>
      </c>
      <c r="D202" s="2" t="b">
        <v>0</v>
      </c>
      <c r="E202" s="8" t="s">
        <v>266</v>
      </c>
      <c r="F202" s="8" t="s">
        <v>666</v>
      </c>
      <c r="G202" s="8"/>
      <c r="H202" s="48">
        <v>1</v>
      </c>
      <c r="I202" s="49"/>
      <c r="J202" s="2" t="s">
        <v>268</v>
      </c>
      <c r="K202" s="2" t="s">
        <v>269</v>
      </c>
      <c r="L202" s="2"/>
      <c r="M202" s="57" t="str">
        <f t="shared" si="14"/>
        <v>rdf:langString</v>
      </c>
      <c r="N202" s="45" t="str">
        <f t="shared" si="15"/>
        <v/>
      </c>
      <c r="O202" s="45" t="str">
        <f t="shared" si="16"/>
        <v/>
      </c>
      <c r="P202" s="8" t="s">
        <v>270</v>
      </c>
      <c r="Q202" s="8"/>
      <c r="R202" s="2" t="s">
        <v>271</v>
      </c>
      <c r="T202" s="8" t="str">
        <f t="shared" si="13"/>
        <v/>
      </c>
    </row>
    <row r="203" ht="18">
      <c r="A203" s="78"/>
      <c r="B203" s="78" t="s">
        <v>667</v>
      </c>
      <c r="C203" s="78"/>
      <c r="D203" s="78"/>
      <c r="E203" s="78"/>
      <c r="F203" s="78"/>
      <c r="G203" s="78"/>
      <c r="H203" s="81"/>
      <c r="I203" s="82"/>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row>
    <row r="204" ht="25.5">
      <c r="A204" s="2" t="str">
        <f>CONCATENATE(Préfixes!$B$3,":P",ROW(A204))</f>
        <v>med:P204</v>
      </c>
      <c r="B204" s="2" t="s">
        <v>261</v>
      </c>
      <c r="C204" s="2" t="s">
        <v>130</v>
      </c>
      <c r="D204" s="2"/>
      <c r="E204" s="8" t="s">
        <v>262</v>
      </c>
      <c r="F204" s="8" t="s">
        <v>668</v>
      </c>
      <c r="G204" s="8"/>
      <c r="H204" s="48">
        <v>1</v>
      </c>
      <c r="I204" s="49">
        <v>1</v>
      </c>
      <c r="J204" s="2" t="s">
        <v>268</v>
      </c>
      <c r="K204" s="2" t="s">
        <v>264</v>
      </c>
      <c r="L204" s="2"/>
      <c r="M204" s="57" t="str">
        <f t="shared" si="14"/>
        <v>xsd:string</v>
      </c>
      <c r="N204" s="45"/>
      <c r="O204" s="45"/>
      <c r="P204" s="8"/>
      <c r="Q204" s="8"/>
      <c r="R204" s="2"/>
      <c r="T204" s="8" t="str">
        <f t="shared" ref="T203:T254" si="17">IF(D204=TRUE,"#EAF1DD","")</f>
        <v/>
      </c>
    </row>
    <row r="205" ht="12.75">
      <c r="A205" s="2" t="str">
        <f>CONCATENATE(Préfixes!$B$3,":P",ROW(A205))</f>
        <v>med:P205</v>
      </c>
      <c r="B205" s="2" t="s">
        <v>265</v>
      </c>
      <c r="C205" s="2" t="s">
        <v>130</v>
      </c>
      <c r="D205" s="2"/>
      <c r="E205" s="8" t="s">
        <v>266</v>
      </c>
      <c r="F205" s="8" t="s">
        <v>220</v>
      </c>
      <c r="G205" s="8"/>
      <c r="H205" s="48">
        <v>1</v>
      </c>
      <c r="I205" s="49"/>
      <c r="J205" s="2" t="s">
        <v>268</v>
      </c>
      <c r="K205" s="2" t="s">
        <v>269</v>
      </c>
      <c r="L205" s="2"/>
      <c r="M205" s="57" t="str">
        <f t="shared" si="14"/>
        <v>rdf:langString</v>
      </c>
      <c r="N205" s="45" t="str">
        <f t="shared" si="15"/>
        <v/>
      </c>
      <c r="O205" s="45" t="str">
        <f t="shared" si="16"/>
        <v/>
      </c>
      <c r="P205" s="8" t="s">
        <v>270</v>
      </c>
      <c r="Q205" s="8"/>
      <c r="R205" s="2" t="s">
        <v>271</v>
      </c>
      <c r="T205" s="8" t="str">
        <f t="shared" si="17"/>
        <v/>
      </c>
    </row>
    <row r="206" ht="18">
      <c r="A206" s="78"/>
      <c r="B206" s="78" t="s">
        <v>155</v>
      </c>
      <c r="C206" s="78"/>
      <c r="D206" s="78"/>
      <c r="E206" s="78"/>
      <c r="F206" s="78"/>
      <c r="G206" s="78"/>
      <c r="H206" s="81"/>
      <c r="I206" s="82"/>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row>
    <row r="207" ht="12.75">
      <c r="A207" s="2" t="str">
        <f>CONCATENATE(Préfixes!$B$3,":P",ROW(A207))</f>
        <v>med:P207</v>
      </c>
      <c r="B207" s="2" t="s">
        <v>261</v>
      </c>
      <c r="C207" s="2" t="s">
        <v>154</v>
      </c>
      <c r="D207" s="2" t="b">
        <v>1</v>
      </c>
      <c r="E207" s="8" t="s">
        <v>262</v>
      </c>
      <c r="F207" s="8" t="s">
        <v>669</v>
      </c>
      <c r="G207" s="8"/>
      <c r="H207" s="48">
        <v>1</v>
      </c>
      <c r="I207" s="49">
        <v>1</v>
      </c>
      <c r="J207" s="2" t="s">
        <v>268</v>
      </c>
      <c r="K207" s="2" t="s">
        <v>264</v>
      </c>
      <c r="L207" s="2"/>
      <c r="M207" s="57" t="str">
        <f t="shared" si="14"/>
        <v>xsd:string</v>
      </c>
      <c r="N207" s="45"/>
      <c r="O207" s="45"/>
      <c r="P207" s="8"/>
      <c r="Q207" s="8"/>
      <c r="R207" s="2"/>
      <c r="T207" s="8" t="str">
        <f t="shared" si="17"/>
        <v>#EAF1DD</v>
      </c>
    </row>
    <row r="208" ht="12.75">
      <c r="A208" s="2" t="str">
        <f>CONCATENATE(Préfixes!$B$3,":P",ROW(A208))</f>
        <v>med:P208</v>
      </c>
      <c r="B208" s="2" t="s">
        <v>265</v>
      </c>
      <c r="C208" s="2" t="s">
        <v>154</v>
      </c>
      <c r="D208" s="2" t="b">
        <v>1</v>
      </c>
      <c r="E208" s="8" t="s">
        <v>266</v>
      </c>
      <c r="F208" s="8" t="s">
        <v>220</v>
      </c>
      <c r="G208" s="8"/>
      <c r="H208" s="48">
        <v>1</v>
      </c>
      <c r="I208" s="49">
        <v>1</v>
      </c>
      <c r="J208" s="2" t="s">
        <v>268</v>
      </c>
      <c r="K208" s="2" t="s">
        <v>269</v>
      </c>
      <c r="L208" s="2"/>
      <c r="M208" s="57" t="str">
        <f t="shared" si="14"/>
        <v>rdf:langString</v>
      </c>
      <c r="N208" s="45" t="str">
        <f t="shared" si="15"/>
        <v/>
      </c>
      <c r="O208" s="45" t="str">
        <f t="shared" si="16"/>
        <v/>
      </c>
      <c r="P208" s="8" t="s">
        <v>270</v>
      </c>
      <c r="Q208" s="8"/>
      <c r="R208" s="2" t="s">
        <v>271</v>
      </c>
      <c r="T208" s="8" t="str">
        <f t="shared" si="17"/>
        <v>#EAF1DD</v>
      </c>
    </row>
    <row r="209" ht="25.5">
      <c r="A209" s="2" t="str">
        <f>CONCATENATE(Préfixes!$B$3,":P",ROW(A209))</f>
        <v>med:P209</v>
      </c>
      <c r="B209" s="2" t="s">
        <v>670</v>
      </c>
      <c r="C209" s="2" t="s">
        <v>154</v>
      </c>
      <c r="D209" s="2" t="b">
        <v>1</v>
      </c>
      <c r="E209" s="8" t="s">
        <v>671</v>
      </c>
      <c r="F209" s="8" t="s">
        <v>672</v>
      </c>
      <c r="G209" s="8"/>
      <c r="H209" s="48">
        <v>1</v>
      </c>
      <c r="I209" s="49"/>
      <c r="J209" s="2" t="s">
        <v>58</v>
      </c>
      <c r="K209" s="2" t="s">
        <v>51</v>
      </c>
      <c r="L209" s="2"/>
      <c r="M209" s="57" t="str">
        <f t="shared" si="14"/>
        <v/>
      </c>
      <c r="N209" s="45" t="str">
        <f t="shared" si="15"/>
        <v>med:SpecialitePharmaceutique</v>
      </c>
      <c r="O209" s="45" t="str">
        <f t="shared" si="16"/>
        <v/>
      </c>
      <c r="P209" s="8"/>
      <c r="Q209" s="8"/>
      <c r="R209" s="2"/>
      <c r="T209" s="8" t="str">
        <f t="shared" si="17"/>
        <v>#EAF1DD</v>
      </c>
    </row>
    <row r="210" ht="18">
      <c r="A210" s="24"/>
      <c r="B210" s="24" t="s">
        <v>673</v>
      </c>
      <c r="C210" s="24"/>
      <c r="D210" s="24"/>
      <c r="E210" s="24"/>
      <c r="F210" s="24"/>
      <c r="G210" s="24"/>
      <c r="H210" s="79"/>
      <c r="I210" s="80"/>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row>
    <row r="211" ht="12.75">
      <c r="A211" s="2" t="str">
        <f>CONCATENATE(Préfixes!$B$3,":P",ROW(A211))</f>
        <v>med:P211</v>
      </c>
      <c r="B211" s="2" t="s">
        <v>265</v>
      </c>
      <c r="C211" t="s">
        <v>134</v>
      </c>
      <c r="D211" s="2" t="b">
        <v>0</v>
      </c>
      <c r="E211" s="8" t="s">
        <v>266</v>
      </c>
      <c r="F211" s="8" t="s">
        <v>220</v>
      </c>
      <c r="G211" s="8"/>
      <c r="H211" s="48">
        <v>1</v>
      </c>
      <c r="I211" s="49"/>
      <c r="J211" s="2" t="s">
        <v>268</v>
      </c>
      <c r="K211" s="2" t="s">
        <v>269</v>
      </c>
      <c r="L211" s="2"/>
      <c r="M211" s="57" t="str">
        <f t="shared" si="14"/>
        <v>rdf:langString</v>
      </c>
      <c r="N211" s="45" t="str">
        <f t="shared" si="15"/>
        <v/>
      </c>
      <c r="O211" s="45" t="str">
        <f t="shared" si="16"/>
        <v/>
      </c>
      <c r="P211" s="8" t="s">
        <v>270</v>
      </c>
      <c r="Q211" s="8"/>
      <c r="R211" s="2" t="s">
        <v>271</v>
      </c>
      <c r="T211" s="8" t="str">
        <f t="shared" si="17"/>
        <v/>
      </c>
    </row>
    <row r="212" ht="12.75">
      <c r="A212" s="2" t="str">
        <f>CONCATENATE(Préfixes!$B$3,":P",ROW(A212))</f>
        <v>med:P212</v>
      </c>
      <c r="B212" s="2" t="s">
        <v>674</v>
      </c>
      <c r="C212" s="2" t="s">
        <v>134</v>
      </c>
      <c r="D212" s="2" t="b">
        <v>0</v>
      </c>
      <c r="E212" s="8" t="s">
        <v>675</v>
      </c>
      <c r="F212" s="8" t="s">
        <v>676</v>
      </c>
      <c r="G212" s="8"/>
      <c r="H212" s="48"/>
      <c r="I212" s="49"/>
      <c r="J212" s="2" t="s">
        <v>268</v>
      </c>
      <c r="K212" s="2" t="s">
        <v>269</v>
      </c>
      <c r="L212" s="2"/>
      <c r="M212" s="57" t="str">
        <f t="shared" si="14"/>
        <v>rdf:langString</v>
      </c>
      <c r="N212" s="45" t="str">
        <f t="shared" si="15"/>
        <v/>
      </c>
      <c r="O212" s="45" t="str">
        <f t="shared" si="16"/>
        <v/>
      </c>
      <c r="P212" s="8"/>
      <c r="Q212" s="8"/>
      <c r="R212" s="2" t="s">
        <v>271</v>
      </c>
      <c r="T212" s="8" t="str">
        <f t="shared" si="17"/>
        <v/>
      </c>
    </row>
    <row r="213" ht="18">
      <c r="A213" s="24"/>
      <c r="B213" s="24" t="s">
        <v>677</v>
      </c>
      <c r="C213" s="24"/>
      <c r="D213" s="24"/>
      <c r="E213" s="24"/>
      <c r="F213" s="24"/>
      <c r="G213" s="24"/>
      <c r="H213" s="79"/>
      <c r="I213" s="80"/>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row>
    <row r="214" ht="12.75">
      <c r="A214" s="2" t="str">
        <f>CONCATENATE(Préfixes!$B$3,":P",ROW(A214))</f>
        <v>med:P214</v>
      </c>
      <c r="B214" s="2" t="s">
        <v>265</v>
      </c>
      <c r="C214" t="s">
        <v>138</v>
      </c>
      <c r="D214" s="2" t="b">
        <v>0</v>
      </c>
      <c r="E214" s="8" t="s">
        <v>266</v>
      </c>
      <c r="F214" s="8" t="s">
        <v>220</v>
      </c>
      <c r="G214" s="8"/>
      <c r="H214" s="48">
        <v>1</v>
      </c>
      <c r="I214" s="49"/>
      <c r="J214" s="2" t="s">
        <v>268</v>
      </c>
      <c r="K214" s="2" t="s">
        <v>269</v>
      </c>
      <c r="L214" s="2"/>
      <c r="M214" s="57" t="str">
        <f t="shared" si="14"/>
        <v>rdf:langString</v>
      </c>
      <c r="N214" s="45" t="str">
        <f t="shared" si="15"/>
        <v/>
      </c>
      <c r="O214" s="45" t="str">
        <f t="shared" si="16"/>
        <v/>
      </c>
      <c r="P214" s="8" t="s">
        <v>270</v>
      </c>
      <c r="Q214" s="8"/>
      <c r="R214" s="2" t="s">
        <v>271</v>
      </c>
      <c r="T214" s="8" t="str">
        <f t="shared" si="17"/>
        <v/>
      </c>
    </row>
    <row r="215" ht="18">
      <c r="A215" s="35"/>
      <c r="B215" s="35" t="s">
        <v>678</v>
      </c>
      <c r="C215" s="35"/>
      <c r="D215" s="35"/>
      <c r="E215" s="35"/>
      <c r="F215" s="35"/>
      <c r="G215" s="35"/>
      <c r="H215" s="83"/>
      <c r="I215" s="84"/>
      <c r="J215" s="35"/>
      <c r="K215" s="35"/>
      <c r="L215" s="35"/>
      <c r="M215" s="35"/>
      <c r="N215" s="35"/>
      <c r="O215" s="35"/>
      <c r="P215" s="35"/>
      <c r="Q215" s="35"/>
      <c r="R215" s="35"/>
      <c r="S215" s="35"/>
      <c r="T215" s="35"/>
      <c r="U215" s="35"/>
      <c r="V215" s="35"/>
      <c r="W215" s="35"/>
      <c r="X215" s="35"/>
      <c r="Y215" s="35"/>
      <c r="Z215" s="35"/>
      <c r="AA215" s="35"/>
      <c r="AB215" s="35"/>
      <c r="AC215" s="35"/>
      <c r="AD215" s="35"/>
      <c r="AE215" s="35"/>
      <c r="AF215" s="35"/>
    </row>
    <row r="216" ht="25.5">
      <c r="A216" s="2" t="str">
        <f>CONCATENATE(Préfixes!$B$3,":P",ROW(A216))</f>
        <v>med:P216</v>
      </c>
      <c r="B216" s="2" t="s">
        <v>265</v>
      </c>
      <c r="C216" s="8" t="s">
        <v>679</v>
      </c>
      <c r="D216" s="8" t="b">
        <v>1</v>
      </c>
      <c r="E216" s="8" t="s">
        <v>266</v>
      </c>
      <c r="F216" s="8" t="s">
        <v>680</v>
      </c>
      <c r="G216" s="8"/>
      <c r="H216" s="48">
        <v>1</v>
      </c>
      <c r="I216" s="49">
        <v>1</v>
      </c>
      <c r="J216" s="2" t="s">
        <v>268</v>
      </c>
      <c r="K216" s="2" t="s">
        <v>269</v>
      </c>
      <c r="L216" s="2"/>
      <c r="M216" s="57" t="str">
        <f t="shared" si="14"/>
        <v>rdf:langString</v>
      </c>
      <c r="N216" s="45" t="str">
        <f t="shared" si="15"/>
        <v/>
      </c>
      <c r="O216" s="45" t="str">
        <f t="shared" si="16"/>
        <v/>
      </c>
      <c r="P216" s="8" t="s">
        <v>270</v>
      </c>
      <c r="Q216" s="8"/>
      <c r="R216" s="2" t="s">
        <v>271</v>
      </c>
      <c r="T216" s="8" t="str">
        <f t="shared" si="17"/>
        <v>#EAF1DD</v>
      </c>
    </row>
    <row r="217" ht="38.25">
      <c r="A217" s="2" t="str">
        <f>CONCATENATE(Préfixes!$B$3,":P",ROW(A217))</f>
        <v>med:P217</v>
      </c>
      <c r="B217" s="2" t="s">
        <v>681</v>
      </c>
      <c r="C217" s="8" t="s">
        <v>679</v>
      </c>
      <c r="D217" s="2" t="b">
        <v>0</v>
      </c>
      <c r="E217" s="8" t="s">
        <v>682</v>
      </c>
      <c r="F217" s="8" t="s">
        <v>683</v>
      </c>
      <c r="G217" s="8"/>
      <c r="H217" s="48"/>
      <c r="I217" s="49">
        <v>1</v>
      </c>
      <c r="J217" s="2" t="s">
        <v>268</v>
      </c>
      <c r="K217" s="2" t="s">
        <v>312</v>
      </c>
      <c r="L217" s="2"/>
      <c r="M217" s="57" t="str">
        <f t="shared" si="14"/>
        <v>xsd:date</v>
      </c>
      <c r="N217" s="45" t="str">
        <f t="shared" si="15"/>
        <v/>
      </c>
      <c r="O217" s="45" t="str">
        <f t="shared" si="16"/>
        <v/>
      </c>
      <c r="P217" s="8"/>
      <c r="Q217" s="8"/>
      <c r="T217" s="8" t="str">
        <f t="shared" si="17"/>
        <v/>
      </c>
    </row>
    <row r="218" ht="51">
      <c r="A218" s="2" t="str">
        <f>CONCATENATE(Préfixes!$B$3,":P",ROW(A218))</f>
        <v>med:P218</v>
      </c>
      <c r="B218" s="2" t="s">
        <v>684</v>
      </c>
      <c r="C218" s="8" t="s">
        <v>679</v>
      </c>
      <c r="D218" s="8" t="b">
        <v>1</v>
      </c>
      <c r="E218" s="8" t="s">
        <v>685</v>
      </c>
      <c r="F218" s="8" t="s">
        <v>686</v>
      </c>
      <c r="G218" s="8"/>
      <c r="H218" s="48">
        <v>1</v>
      </c>
      <c r="I218" s="49">
        <v>1</v>
      </c>
      <c r="J218" s="2" t="s">
        <v>268</v>
      </c>
      <c r="K218" s="2" t="s">
        <v>312</v>
      </c>
      <c r="L218" s="2"/>
      <c r="M218" s="57" t="str">
        <f t="shared" si="14"/>
        <v>xsd:date</v>
      </c>
      <c r="N218" s="45" t="str">
        <f t="shared" si="15"/>
        <v/>
      </c>
      <c r="O218" s="45" t="str">
        <f t="shared" si="16"/>
        <v/>
      </c>
      <c r="P218" s="8"/>
      <c r="Q218" s="8"/>
      <c r="T218" s="8" t="str">
        <f t="shared" si="17"/>
        <v>#EAF1DD</v>
      </c>
    </row>
    <row r="219" ht="25.5">
      <c r="A219" s="2" t="str">
        <f>CONCATENATE(Préfixes!$B$3,":P",ROW(A219))</f>
        <v>med:P219</v>
      </c>
      <c r="B219" s="2" t="s">
        <v>687</v>
      </c>
      <c r="C219" s="8" t="s">
        <v>679</v>
      </c>
      <c r="D219" s="2" t="b">
        <v>0</v>
      </c>
      <c r="E219" s="8" t="s">
        <v>688</v>
      </c>
      <c r="F219" s="8" t="s">
        <v>689</v>
      </c>
      <c r="G219" s="8"/>
      <c r="H219" s="48"/>
      <c r="I219" s="49">
        <v>1</v>
      </c>
      <c r="J219" s="2" t="s">
        <v>268</v>
      </c>
      <c r="K219" s="2" t="s">
        <v>269</v>
      </c>
      <c r="L219" s="2"/>
      <c r="M219" s="57" t="str">
        <f t="shared" si="14"/>
        <v>rdf:langString</v>
      </c>
      <c r="N219" s="45" t="str">
        <f t="shared" si="15"/>
        <v/>
      </c>
      <c r="O219" s="45" t="str">
        <f t="shared" si="16"/>
        <v/>
      </c>
      <c r="P219" s="8"/>
      <c r="Q219" s="8"/>
      <c r="T219" s="8" t="str">
        <f t="shared" si="17"/>
        <v/>
      </c>
    </row>
    <row r="220" ht="51">
      <c r="A220" s="2" t="str">
        <f>CONCATENATE(Préfixes!$B$3,":P",ROW(A220))</f>
        <v>med:P220</v>
      </c>
      <c r="B220" s="2" t="s">
        <v>690</v>
      </c>
      <c r="C220" s="8" t="s">
        <v>679</v>
      </c>
      <c r="D220" s="8" t="b">
        <v>1</v>
      </c>
      <c r="E220" s="8" t="s">
        <v>691</v>
      </c>
      <c r="F220" s="8" t="s">
        <v>692</v>
      </c>
      <c r="G220" s="8" t="s">
        <v>693</v>
      </c>
      <c r="H220" s="48">
        <v>1</v>
      </c>
      <c r="I220" s="49">
        <v>1</v>
      </c>
      <c r="J220" s="2" t="s">
        <v>58</v>
      </c>
      <c r="K220" s="2"/>
      <c r="L220" s="2"/>
      <c r="M220" s="85"/>
      <c r="N220" s="45"/>
      <c r="O220" s="45"/>
      <c r="P220" s="8"/>
      <c r="Q220" s="8"/>
      <c r="S220" s="8" t="s">
        <v>694</v>
      </c>
      <c r="T220" s="8" t="str">
        <f t="shared" si="17"/>
        <v>#EAF1DD</v>
      </c>
    </row>
    <row r="221" ht="25.5">
      <c r="A221" s="2" t="str">
        <f>CONCATENATE(Préfixes!$B$3,":P",ROW(A221))</f>
        <v>med:P221</v>
      </c>
      <c r="B221" s="2" t="s">
        <v>695</v>
      </c>
      <c r="C221" s="8" t="s">
        <v>679</v>
      </c>
      <c r="D221" s="8" t="b">
        <v>1</v>
      </c>
      <c r="E221" s="8" t="s">
        <v>696</v>
      </c>
      <c r="F221" s="8" t="s">
        <v>697</v>
      </c>
      <c r="G221" s="8"/>
      <c r="H221" s="48">
        <v>1</v>
      </c>
      <c r="I221" s="49">
        <v>1</v>
      </c>
      <c r="J221" s="2" t="s">
        <v>58</v>
      </c>
      <c r="K221" s="2" t="s">
        <v>216</v>
      </c>
      <c r="L221" s="2"/>
      <c r="M221" s="57" t="str">
        <f t="shared" si="14"/>
        <v/>
      </c>
      <c r="N221" s="45" t="str">
        <f t="shared" si="15"/>
        <v>med:TypeEvenement</v>
      </c>
      <c r="O221" s="45" t="str">
        <f t="shared" si="16"/>
        <v/>
      </c>
      <c r="P221" s="8"/>
      <c r="Q221" s="8"/>
      <c r="T221" s="8" t="str">
        <f t="shared" si="17"/>
        <v>#EAF1DD</v>
      </c>
    </row>
    <row r="222" ht="18">
      <c r="A222" s="35"/>
      <c r="B222" s="35" t="s">
        <v>194</v>
      </c>
      <c r="C222" s="35"/>
      <c r="D222" s="35"/>
      <c r="E222" s="35"/>
      <c r="F222" s="35"/>
      <c r="G222" s="35"/>
      <c r="H222" s="83"/>
      <c r="I222" s="84"/>
      <c r="J222" s="35"/>
      <c r="K222" s="35"/>
      <c r="L222" s="35"/>
      <c r="M222" s="35"/>
      <c r="N222" s="35"/>
      <c r="O222" s="35"/>
      <c r="P222" s="35"/>
      <c r="Q222" s="35"/>
      <c r="R222" s="35"/>
      <c r="S222" s="35"/>
      <c r="T222" s="35"/>
      <c r="U222" s="35"/>
      <c r="V222" s="35"/>
      <c r="W222" s="35"/>
      <c r="X222" s="35"/>
      <c r="Y222" s="35"/>
      <c r="Z222" s="35"/>
      <c r="AA222" s="35"/>
      <c r="AB222" s="35"/>
      <c r="AC222" s="35"/>
      <c r="AD222" s="35"/>
      <c r="AE222" s="35"/>
      <c r="AF222" s="35"/>
    </row>
    <row r="223" ht="25.5">
      <c r="A223" s="2" t="str">
        <f>CONCATENATE(Préfixes!$B$3,":P",ROW(A223))</f>
        <v>med:P223</v>
      </c>
      <c r="B223" s="2" t="s">
        <v>698</v>
      </c>
      <c r="C223" s="2" t="s">
        <v>193</v>
      </c>
      <c r="D223" s="2" t="b">
        <v>0</v>
      </c>
      <c r="E223" s="8" t="s">
        <v>699</v>
      </c>
      <c r="F223" s="8" t="s">
        <v>700</v>
      </c>
      <c r="G223" s="8"/>
      <c r="H223" s="48"/>
      <c r="I223" s="49">
        <v>1</v>
      </c>
      <c r="J223" s="2" t="s">
        <v>58</v>
      </c>
      <c r="K223" s="2" t="s">
        <v>208</v>
      </c>
      <c r="L223" s="2"/>
      <c r="M223" s="57" t="str">
        <f t="shared" si="14"/>
        <v/>
      </c>
      <c r="N223" s="45" t="str">
        <f t="shared" si="15"/>
        <v>med:TypeProcedure</v>
      </c>
      <c r="O223" s="45" t="str">
        <f t="shared" si="16"/>
        <v/>
      </c>
      <c r="P223" s="8"/>
      <c r="Q223" s="8"/>
      <c r="T223" s="8" t="str">
        <f t="shared" si="17"/>
        <v/>
      </c>
    </row>
    <row r="224" ht="18">
      <c r="A224" s="24"/>
      <c r="B224" s="24" t="s">
        <v>701</v>
      </c>
      <c r="C224" s="24"/>
      <c r="D224" s="24"/>
      <c r="E224" s="24"/>
      <c r="F224" s="24"/>
      <c r="G224" s="24"/>
      <c r="H224" s="79"/>
      <c r="I224" s="80"/>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row>
    <row r="225" ht="12.75">
      <c r="A225" s="2" t="str">
        <f>CONCATENATE(Préfixes!$B$3,":P",ROW(A225))</f>
        <v>med:P225</v>
      </c>
      <c r="B225" s="2" t="s">
        <v>265</v>
      </c>
      <c r="C225" s="2" t="s">
        <v>216</v>
      </c>
      <c r="D225" s="8" t="b">
        <v>1</v>
      </c>
      <c r="E225" s="8" t="s">
        <v>266</v>
      </c>
      <c r="F225" s="8" t="s">
        <v>702</v>
      </c>
      <c r="G225" s="8"/>
      <c r="H225" s="48">
        <v>1</v>
      </c>
      <c r="I225" s="49">
        <v>1</v>
      </c>
      <c r="J225" s="2" t="s">
        <v>268</v>
      </c>
      <c r="K225" s="2" t="s">
        <v>269</v>
      </c>
      <c r="L225" s="2"/>
      <c r="M225" s="57" t="str">
        <f t="shared" si="14"/>
        <v>rdf:langString</v>
      </c>
      <c r="N225" s="45" t="str">
        <f t="shared" si="15"/>
        <v/>
      </c>
      <c r="O225" s="45" t="str">
        <f t="shared" si="16"/>
        <v/>
      </c>
      <c r="P225" s="8" t="s">
        <v>270</v>
      </c>
      <c r="Q225" s="8"/>
      <c r="R225" s="2" t="s">
        <v>271</v>
      </c>
      <c r="T225" s="8" t="str">
        <f t="shared" si="17"/>
        <v>#EAF1DD</v>
      </c>
    </row>
    <row r="226" ht="12.75">
      <c r="A226" s="2" t="str">
        <f>CONCATENATE(Préfixes!$B$3,":P",ROW(A226))</f>
        <v>med:P226</v>
      </c>
      <c r="B226" s="2" t="s">
        <v>703</v>
      </c>
      <c r="C226" s="2" t="s">
        <v>216</v>
      </c>
      <c r="D226" s="8" t="b">
        <v>1</v>
      </c>
      <c r="E226" s="8" t="s">
        <v>704</v>
      </c>
      <c r="F226" s="8" t="s">
        <v>705</v>
      </c>
      <c r="G226" s="8"/>
      <c r="H226" s="48"/>
      <c r="I226" s="49">
        <v>1</v>
      </c>
      <c r="J226" s="2" t="s">
        <v>268</v>
      </c>
      <c r="K226" s="2" t="s">
        <v>269</v>
      </c>
      <c r="L226" s="2"/>
      <c r="M226" s="57" t="str">
        <f t="shared" si="14"/>
        <v>rdf:langString</v>
      </c>
      <c r="N226" s="45" t="str">
        <f t="shared" si="15"/>
        <v/>
      </c>
      <c r="O226" s="45" t="str">
        <f t="shared" si="16"/>
        <v/>
      </c>
      <c r="P226" s="8"/>
      <c r="Q226" s="8"/>
      <c r="R226" s="2" t="s">
        <v>271</v>
      </c>
      <c r="T226" s="8" t="str">
        <f t="shared" si="17"/>
        <v>#EAF1DD</v>
      </c>
    </row>
    <row r="227" ht="12.75">
      <c r="A227" s="2" t="str">
        <f>CONCATENATE(Préfixes!$B$3,":P",ROW(A227))</f>
        <v>med:P227</v>
      </c>
      <c r="B227" s="2" t="s">
        <v>261</v>
      </c>
      <c r="C227" s="2" t="s">
        <v>216</v>
      </c>
      <c r="D227" s="8" t="b">
        <v>1</v>
      </c>
      <c r="E227" s="8" t="s">
        <v>262</v>
      </c>
      <c r="F227" s="8" t="s">
        <v>706</v>
      </c>
      <c r="G227" s="8"/>
      <c r="H227" s="48">
        <v>1</v>
      </c>
      <c r="I227" s="49">
        <v>1</v>
      </c>
      <c r="J227" s="2" t="s">
        <v>268</v>
      </c>
      <c r="K227" s="2" t="s">
        <v>264</v>
      </c>
      <c r="L227" s="2"/>
      <c r="M227" s="57" t="str">
        <f t="shared" si="14"/>
        <v>xsd:string</v>
      </c>
      <c r="N227" s="45" t="str">
        <f t="shared" si="15"/>
        <v/>
      </c>
      <c r="O227" s="45" t="str">
        <f t="shared" si="16"/>
        <v/>
      </c>
      <c r="P227" s="8"/>
      <c r="Q227" s="8"/>
      <c r="T227" s="8" t="str">
        <f t="shared" si="17"/>
        <v>#EAF1DD</v>
      </c>
    </row>
    <row r="228" ht="12.75">
      <c r="A228" s="2" t="str">
        <f>CONCATENATE(Préfixes!$B$3,":P",ROW(A228))</f>
        <v>med:P228</v>
      </c>
      <c r="B228" s="2" t="s">
        <v>632</v>
      </c>
      <c r="C228" s="2" t="s">
        <v>216</v>
      </c>
      <c r="D228" s="8" t="b">
        <v>1</v>
      </c>
      <c r="E228" s="8" t="s">
        <v>633</v>
      </c>
      <c r="F228" s="8" t="s">
        <v>707</v>
      </c>
      <c r="G228" s="8"/>
      <c r="H228" s="48"/>
      <c r="I228" s="49">
        <v>1</v>
      </c>
      <c r="J228" s="2" t="s">
        <v>268</v>
      </c>
      <c r="K228" s="2" t="s">
        <v>312</v>
      </c>
      <c r="L228" s="2"/>
      <c r="M228" s="57" t="str">
        <f t="shared" si="14"/>
        <v>xsd:date</v>
      </c>
      <c r="N228" s="45" t="str">
        <f t="shared" si="15"/>
        <v/>
      </c>
      <c r="O228" s="45" t="str">
        <f t="shared" si="16"/>
        <v/>
      </c>
      <c r="P228" s="8"/>
      <c r="Q228" s="8"/>
      <c r="T228" s="8" t="str">
        <f t="shared" si="17"/>
        <v>#EAF1DD</v>
      </c>
    </row>
    <row r="229" ht="25.5">
      <c r="A229" s="2" t="str">
        <f>CONCATENATE(Préfixes!$B$3,":P",ROW(A229))</f>
        <v>med:P229</v>
      </c>
      <c r="B229" s="2" t="s">
        <v>708</v>
      </c>
      <c r="C229" s="2" t="s">
        <v>216</v>
      </c>
      <c r="D229" s="8" t="b">
        <v>1</v>
      </c>
      <c r="E229" s="8" t="s">
        <v>709</v>
      </c>
      <c r="F229" s="8" t="s">
        <v>710</v>
      </c>
      <c r="G229" s="8"/>
      <c r="H229" s="48"/>
      <c r="I229" s="49">
        <v>1</v>
      </c>
      <c r="J229" s="2" t="s">
        <v>268</v>
      </c>
      <c r="K229" s="2" t="s">
        <v>312</v>
      </c>
      <c r="L229" s="2"/>
      <c r="M229" s="57" t="str">
        <f t="shared" ref="M229:M254" si="18">IF(K229&lt;&gt;"",IF(OR(LEFT(K229,3)="rdf",LEFT(K229,3)="xsd",LEFT(K229,3)="cdt"),K229,""),"")</f>
        <v>xsd:date</v>
      </c>
      <c r="N229" s="45" t="str">
        <f t="shared" ref="N229:N254" si="19">IF(K229&lt;&gt;"",IF(AND(M229="",LEFT(K229,13)&lt;&gt;"med:BlankNode"),K229,""),"")</f>
        <v/>
      </c>
      <c r="O229" s="45" t="str">
        <f t="shared" ref="O229:O254" si="20">IF(K229&lt;&gt;"",IF(AND(M229="",LEFT(K229,13)="med:BlankNode"),K229,""),"")</f>
        <v/>
      </c>
      <c r="P229" s="8"/>
      <c r="Q229" s="8"/>
      <c r="T229" s="8" t="str">
        <f t="shared" si="17"/>
        <v>#EAF1DD</v>
      </c>
    </row>
    <row r="230" ht="12.75">
      <c r="A230" s="2" t="str">
        <f>CONCATENATE(Préfixes!$B$3,":P",ROW(A230))</f>
        <v>med:P230</v>
      </c>
      <c r="B230" s="2" t="s">
        <v>711</v>
      </c>
      <c r="C230" s="2" t="s">
        <v>216</v>
      </c>
      <c r="D230" s="8" t="b">
        <v>1</v>
      </c>
      <c r="E230" s="8" t="s">
        <v>712</v>
      </c>
      <c r="F230" s="8" t="s">
        <v>713</v>
      </c>
      <c r="G230" s="8"/>
      <c r="H230" s="48"/>
      <c r="I230" s="49">
        <v>1</v>
      </c>
      <c r="J230" s="2" t="s">
        <v>268</v>
      </c>
      <c r="K230" s="2" t="s">
        <v>319</v>
      </c>
      <c r="L230" s="2"/>
      <c r="M230" s="57" t="str">
        <f t="shared" si="18"/>
        <v>xsd:boolean</v>
      </c>
      <c r="N230" s="45" t="str">
        <f t="shared" si="19"/>
        <v/>
      </c>
      <c r="O230" s="45" t="str">
        <f t="shared" si="20"/>
        <v/>
      </c>
      <c r="P230" s="8"/>
      <c r="Q230" s="8"/>
      <c r="T230" s="8" t="str">
        <f t="shared" si="17"/>
        <v>#EAF1DD</v>
      </c>
    </row>
    <row r="231" ht="18">
      <c r="A231" s="24"/>
      <c r="B231" s="24" t="s">
        <v>714</v>
      </c>
      <c r="C231" s="24"/>
      <c r="D231" s="24"/>
      <c r="E231" s="24"/>
      <c r="F231" s="24"/>
      <c r="G231" s="24"/>
      <c r="H231" s="79"/>
      <c r="I231" s="80"/>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row>
    <row r="232" ht="12.75">
      <c r="A232" s="2" t="str">
        <f>CONCATENATE(Préfixes!$B$3,":P",ROW(A232))</f>
        <v>med:P232</v>
      </c>
      <c r="B232" s="2" t="s">
        <v>265</v>
      </c>
      <c r="C232" s="64" t="s">
        <v>212</v>
      </c>
      <c r="D232" s="8" t="b">
        <v>1</v>
      </c>
      <c r="E232" s="8" t="s">
        <v>266</v>
      </c>
      <c r="F232" s="8" t="s">
        <v>715</v>
      </c>
      <c r="G232" s="8"/>
      <c r="H232" s="48">
        <v>1</v>
      </c>
      <c r="I232" s="49">
        <v>1</v>
      </c>
      <c r="J232" s="2" t="s">
        <v>268</v>
      </c>
      <c r="K232" s="2" t="s">
        <v>269</v>
      </c>
      <c r="L232" s="2"/>
      <c r="M232" s="57" t="str">
        <f t="shared" si="18"/>
        <v>rdf:langString</v>
      </c>
      <c r="N232" s="45" t="str">
        <f t="shared" si="19"/>
        <v/>
      </c>
      <c r="O232" s="45" t="str">
        <f t="shared" si="20"/>
        <v/>
      </c>
      <c r="P232" s="8" t="s">
        <v>270</v>
      </c>
      <c r="Q232" s="8"/>
      <c r="R232" s="2" t="s">
        <v>271</v>
      </c>
      <c r="T232" s="8" t="str">
        <f t="shared" si="17"/>
        <v>#EAF1DD</v>
      </c>
    </row>
    <row r="233" ht="12.75">
      <c r="A233" s="2" t="str">
        <f>CONCATENATE(Préfixes!$B$3,":P",ROW(A233))</f>
        <v>med:P233</v>
      </c>
      <c r="B233" s="2" t="s">
        <v>703</v>
      </c>
      <c r="C233" s="64" t="s">
        <v>212</v>
      </c>
      <c r="D233" s="8" t="b">
        <v>1</v>
      </c>
      <c r="E233" s="8" t="s">
        <v>704</v>
      </c>
      <c r="F233" s="8" t="s">
        <v>705</v>
      </c>
      <c r="G233" s="8"/>
      <c r="H233" s="48"/>
      <c r="I233" s="49">
        <v>1</v>
      </c>
      <c r="J233" s="2" t="s">
        <v>268</v>
      </c>
      <c r="K233" s="2" t="s">
        <v>269</v>
      </c>
      <c r="L233" s="2"/>
      <c r="M233" s="57" t="str">
        <f t="shared" si="18"/>
        <v>rdf:langString</v>
      </c>
      <c r="N233" s="45" t="str">
        <f t="shared" si="19"/>
        <v/>
      </c>
      <c r="O233" s="45" t="str">
        <f t="shared" si="20"/>
        <v/>
      </c>
      <c r="P233" s="8"/>
      <c r="Q233" s="8"/>
      <c r="R233" s="2" t="s">
        <v>271</v>
      </c>
      <c r="T233" s="8" t="str">
        <f t="shared" si="17"/>
        <v>#EAF1DD</v>
      </c>
    </row>
    <row r="234" ht="12.75">
      <c r="A234" s="2" t="str">
        <f>CONCATENATE(Préfixes!$B$3,":P",ROW(A234))</f>
        <v>med:P234</v>
      </c>
      <c r="B234" s="2" t="s">
        <v>261</v>
      </c>
      <c r="C234" s="64" t="s">
        <v>212</v>
      </c>
      <c r="D234" s="8" t="b">
        <v>1</v>
      </c>
      <c r="E234" s="8" t="s">
        <v>262</v>
      </c>
      <c r="F234" s="8" t="s">
        <v>706</v>
      </c>
      <c r="G234" s="8"/>
      <c r="H234" s="48">
        <v>1</v>
      </c>
      <c r="I234" s="49">
        <v>1</v>
      </c>
      <c r="J234" s="2" t="s">
        <v>268</v>
      </c>
      <c r="K234" s="2" t="s">
        <v>264</v>
      </c>
      <c r="L234" s="2"/>
      <c r="M234" s="57" t="str">
        <f t="shared" si="18"/>
        <v>xsd:string</v>
      </c>
      <c r="N234" s="45" t="str">
        <f t="shared" si="19"/>
        <v/>
      </c>
      <c r="O234" s="45" t="str">
        <f t="shared" si="20"/>
        <v/>
      </c>
      <c r="P234" s="8"/>
      <c r="Q234" s="8"/>
      <c r="T234" s="8" t="str">
        <f t="shared" si="17"/>
        <v>#EAF1DD</v>
      </c>
    </row>
    <row r="235" ht="12.75">
      <c r="A235" s="2" t="str">
        <f>CONCATENATE(Préfixes!$B$3,":P",ROW(A235))</f>
        <v>med:P235</v>
      </c>
      <c r="B235" s="2" t="s">
        <v>632</v>
      </c>
      <c r="C235" s="64" t="s">
        <v>212</v>
      </c>
      <c r="D235" s="8" t="b">
        <v>1</v>
      </c>
      <c r="E235" s="8" t="s">
        <v>633</v>
      </c>
      <c r="F235" s="8" t="s">
        <v>707</v>
      </c>
      <c r="G235" s="8"/>
      <c r="H235" s="48"/>
      <c r="I235" s="49">
        <v>1</v>
      </c>
      <c r="J235" s="2" t="s">
        <v>268</v>
      </c>
      <c r="K235" s="2" t="s">
        <v>312</v>
      </c>
      <c r="L235" s="2"/>
      <c r="M235" s="57" t="str">
        <f t="shared" si="18"/>
        <v>xsd:date</v>
      </c>
      <c r="N235" s="45" t="str">
        <f t="shared" si="19"/>
        <v/>
      </c>
      <c r="O235" s="45" t="str">
        <f t="shared" si="20"/>
        <v/>
      </c>
      <c r="P235" s="8"/>
      <c r="Q235" s="8"/>
      <c r="T235" s="8" t="str">
        <f t="shared" si="17"/>
        <v>#EAF1DD</v>
      </c>
    </row>
    <row r="236" ht="25.5">
      <c r="A236" s="2" t="str">
        <f>CONCATENATE(Préfixes!$B$3,":P",ROW(A236))</f>
        <v>med:P236</v>
      </c>
      <c r="B236" s="2" t="s">
        <v>708</v>
      </c>
      <c r="C236" s="64" t="s">
        <v>212</v>
      </c>
      <c r="D236" s="8" t="b">
        <v>1</v>
      </c>
      <c r="E236" s="8" t="s">
        <v>709</v>
      </c>
      <c r="F236" s="8" t="s">
        <v>710</v>
      </c>
      <c r="G236" s="8"/>
      <c r="H236" s="48"/>
      <c r="I236" s="49">
        <v>1</v>
      </c>
      <c r="J236" s="2" t="s">
        <v>268</v>
      </c>
      <c r="K236" s="2" t="s">
        <v>312</v>
      </c>
      <c r="L236" s="2"/>
      <c r="M236" s="57" t="str">
        <f t="shared" si="18"/>
        <v>xsd:date</v>
      </c>
      <c r="N236" s="45" t="str">
        <f t="shared" si="19"/>
        <v/>
      </c>
      <c r="O236" s="45" t="str">
        <f t="shared" si="20"/>
        <v/>
      </c>
      <c r="P236" s="8"/>
      <c r="Q236" s="8"/>
      <c r="T236" s="8" t="str">
        <f t="shared" si="17"/>
        <v>#EAF1DD</v>
      </c>
    </row>
    <row r="237" ht="12.75">
      <c r="A237" s="2" t="str">
        <f>CONCATENATE(Préfixes!$B$3,":P",ROW(A237))</f>
        <v>med:P237</v>
      </c>
      <c r="B237" s="2" t="s">
        <v>711</v>
      </c>
      <c r="C237" s="64" t="s">
        <v>212</v>
      </c>
      <c r="D237" s="8" t="b">
        <v>1</v>
      </c>
      <c r="E237" s="8" t="s">
        <v>712</v>
      </c>
      <c r="F237" s="8" t="s">
        <v>713</v>
      </c>
      <c r="G237" s="8"/>
      <c r="H237" s="48"/>
      <c r="I237" s="49">
        <v>1</v>
      </c>
      <c r="J237" s="2" t="s">
        <v>268</v>
      </c>
      <c r="K237" s="2" t="s">
        <v>319</v>
      </c>
      <c r="L237" s="2"/>
      <c r="M237" s="57" t="str">
        <f t="shared" si="18"/>
        <v>xsd:boolean</v>
      </c>
      <c r="N237" s="45" t="str">
        <f t="shared" si="19"/>
        <v/>
      </c>
      <c r="O237" s="45" t="str">
        <f t="shared" si="20"/>
        <v/>
      </c>
      <c r="P237" s="8"/>
      <c r="Q237" s="8"/>
      <c r="T237" s="8" t="str">
        <f t="shared" si="17"/>
        <v>#EAF1DD</v>
      </c>
    </row>
    <row r="238" ht="18">
      <c r="A238" s="24"/>
      <c r="B238" s="24" t="s">
        <v>716</v>
      </c>
      <c r="C238" s="24"/>
      <c r="D238" s="24"/>
      <c r="E238" s="24"/>
      <c r="F238" s="24"/>
      <c r="G238" s="24"/>
      <c r="H238" s="79"/>
      <c r="I238" s="80"/>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row>
    <row r="239" ht="12.75">
      <c r="A239" s="2" t="str">
        <f>CONCATENATE(Préfixes!$B$3,":P",ROW(A239))</f>
        <v>med:P239</v>
      </c>
      <c r="B239" s="2" t="s">
        <v>265</v>
      </c>
      <c r="C239" s="64" t="s">
        <v>208</v>
      </c>
      <c r="D239" s="8" t="b">
        <v>1</v>
      </c>
      <c r="E239" s="8" t="s">
        <v>266</v>
      </c>
      <c r="F239" s="8" t="s">
        <v>717</v>
      </c>
      <c r="G239" s="8"/>
      <c r="H239" s="48">
        <v>1</v>
      </c>
      <c r="I239" s="49">
        <v>1</v>
      </c>
      <c r="J239" s="2" t="s">
        <v>268</v>
      </c>
      <c r="K239" s="2" t="s">
        <v>269</v>
      </c>
      <c r="L239" s="2"/>
      <c r="M239" s="57" t="str">
        <f t="shared" si="18"/>
        <v>rdf:langString</v>
      </c>
      <c r="N239" s="45" t="str">
        <f t="shared" si="19"/>
        <v/>
      </c>
      <c r="O239" s="45" t="str">
        <f t="shared" si="20"/>
        <v/>
      </c>
      <c r="P239" s="8" t="s">
        <v>270</v>
      </c>
      <c r="Q239" s="8"/>
      <c r="R239" s="2" t="s">
        <v>271</v>
      </c>
      <c r="T239" s="8" t="str">
        <f t="shared" si="17"/>
        <v>#EAF1DD</v>
      </c>
    </row>
    <row r="240" ht="12.75">
      <c r="A240" s="2" t="str">
        <f>CONCATENATE(Préfixes!$B$3,":P",ROW(A240))</f>
        <v>med:P240</v>
      </c>
      <c r="B240" s="2" t="s">
        <v>703</v>
      </c>
      <c r="C240" s="64" t="s">
        <v>208</v>
      </c>
      <c r="D240" s="8" t="b">
        <v>1</v>
      </c>
      <c r="E240" s="8" t="s">
        <v>704</v>
      </c>
      <c r="F240" s="8" t="s">
        <v>705</v>
      </c>
      <c r="G240" s="8"/>
      <c r="H240" s="48"/>
      <c r="I240" s="49">
        <v>1</v>
      </c>
      <c r="J240" s="2" t="s">
        <v>268</v>
      </c>
      <c r="K240" s="2" t="s">
        <v>269</v>
      </c>
      <c r="L240" s="2"/>
      <c r="M240" s="57" t="str">
        <f t="shared" si="18"/>
        <v>rdf:langString</v>
      </c>
      <c r="N240" s="45" t="str">
        <f t="shared" si="19"/>
        <v/>
      </c>
      <c r="O240" s="45" t="str">
        <f t="shared" si="20"/>
        <v/>
      </c>
      <c r="P240" s="8"/>
      <c r="Q240" s="8"/>
      <c r="R240" s="2" t="s">
        <v>271</v>
      </c>
      <c r="T240" s="8" t="str">
        <f t="shared" si="17"/>
        <v>#EAF1DD</v>
      </c>
    </row>
    <row r="241" ht="12.75">
      <c r="A241" s="2" t="str">
        <f>CONCATENATE(Préfixes!$B$3,":P",ROW(A241))</f>
        <v>med:P241</v>
      </c>
      <c r="B241" s="2" t="s">
        <v>261</v>
      </c>
      <c r="C241" s="64" t="s">
        <v>208</v>
      </c>
      <c r="D241" s="8" t="b">
        <v>1</v>
      </c>
      <c r="E241" s="8" t="s">
        <v>262</v>
      </c>
      <c r="F241" s="8" t="s">
        <v>706</v>
      </c>
      <c r="G241" s="8"/>
      <c r="H241" s="48">
        <v>1</v>
      </c>
      <c r="I241" s="49">
        <v>1</v>
      </c>
      <c r="J241" s="2" t="s">
        <v>268</v>
      </c>
      <c r="K241" s="2" t="s">
        <v>264</v>
      </c>
      <c r="L241" s="2"/>
      <c r="M241" s="57" t="str">
        <f t="shared" si="18"/>
        <v>xsd:string</v>
      </c>
      <c r="N241" s="45" t="str">
        <f t="shared" si="19"/>
        <v/>
      </c>
      <c r="O241" s="45" t="str">
        <f t="shared" si="20"/>
        <v/>
      </c>
      <c r="P241" s="8"/>
      <c r="Q241" s="8"/>
      <c r="T241" s="8" t="str">
        <f t="shared" si="17"/>
        <v>#EAF1DD</v>
      </c>
    </row>
    <row r="242" ht="12.75">
      <c r="A242" s="2" t="str">
        <f>CONCATENATE(Préfixes!$B$3,":P",ROW(A242))</f>
        <v>med:P242</v>
      </c>
      <c r="B242" s="2" t="s">
        <v>632</v>
      </c>
      <c r="C242" s="64" t="s">
        <v>208</v>
      </c>
      <c r="D242" s="8" t="b">
        <v>1</v>
      </c>
      <c r="E242" s="8" t="s">
        <v>633</v>
      </c>
      <c r="F242" s="8" t="s">
        <v>707</v>
      </c>
      <c r="G242" s="8"/>
      <c r="H242" s="48"/>
      <c r="I242" s="49">
        <v>1</v>
      </c>
      <c r="J242" s="2" t="s">
        <v>268</v>
      </c>
      <c r="K242" s="2" t="s">
        <v>312</v>
      </c>
      <c r="L242" s="2"/>
      <c r="M242" s="57" t="str">
        <f t="shared" si="18"/>
        <v>xsd:date</v>
      </c>
      <c r="N242" s="45" t="str">
        <f t="shared" si="19"/>
        <v/>
      </c>
      <c r="O242" s="45" t="str">
        <f t="shared" si="20"/>
        <v/>
      </c>
      <c r="P242" s="8"/>
      <c r="Q242" s="8"/>
      <c r="T242" s="8" t="str">
        <f t="shared" si="17"/>
        <v>#EAF1DD</v>
      </c>
    </row>
    <row r="243" ht="25.5">
      <c r="A243" s="2" t="str">
        <f>CONCATENATE(Préfixes!$B$3,":P",ROW(A243))</f>
        <v>med:P243</v>
      </c>
      <c r="B243" s="2" t="s">
        <v>708</v>
      </c>
      <c r="C243" s="64" t="s">
        <v>208</v>
      </c>
      <c r="D243" s="8" t="b">
        <v>1</v>
      </c>
      <c r="E243" s="8" t="s">
        <v>709</v>
      </c>
      <c r="F243" s="8" t="s">
        <v>710</v>
      </c>
      <c r="G243" s="8"/>
      <c r="H243" s="48"/>
      <c r="I243" s="49">
        <v>1</v>
      </c>
      <c r="J243" s="2" t="s">
        <v>268</v>
      </c>
      <c r="K243" s="2" t="s">
        <v>312</v>
      </c>
      <c r="L243" s="2"/>
      <c r="M243" s="57" t="str">
        <f t="shared" si="18"/>
        <v>xsd:date</v>
      </c>
      <c r="N243" s="45" t="str">
        <f t="shared" si="19"/>
        <v/>
      </c>
      <c r="O243" s="45" t="str">
        <f t="shared" si="20"/>
        <v/>
      </c>
      <c r="P243" s="8"/>
      <c r="Q243" s="8"/>
      <c r="T243" s="8" t="str">
        <f t="shared" si="17"/>
        <v>#EAF1DD</v>
      </c>
    </row>
    <row r="244" ht="12.75">
      <c r="A244" s="2" t="str">
        <f>CONCATENATE(Préfixes!$B$3,":P",ROW(A244))</f>
        <v>med:P244</v>
      </c>
      <c r="B244" s="2" t="s">
        <v>711</v>
      </c>
      <c r="C244" s="64" t="s">
        <v>208</v>
      </c>
      <c r="D244" s="8" t="b">
        <v>1</v>
      </c>
      <c r="E244" s="8" t="s">
        <v>712</v>
      </c>
      <c r="F244" s="8" t="s">
        <v>713</v>
      </c>
      <c r="G244" s="8"/>
      <c r="H244" s="48"/>
      <c r="I244" s="49">
        <v>1</v>
      </c>
      <c r="J244" s="2" t="s">
        <v>268</v>
      </c>
      <c r="K244" s="2" t="s">
        <v>319</v>
      </c>
      <c r="L244" s="2"/>
      <c r="M244" s="57" t="str">
        <f t="shared" si="18"/>
        <v>xsd:boolean</v>
      </c>
      <c r="N244" s="45" t="str">
        <f t="shared" si="19"/>
        <v/>
      </c>
      <c r="O244" s="45" t="str">
        <f t="shared" si="20"/>
        <v/>
      </c>
      <c r="P244" s="8"/>
      <c r="Q244" s="8"/>
      <c r="T244" s="8" t="str">
        <f t="shared" si="17"/>
        <v>#EAF1DD</v>
      </c>
    </row>
    <row r="245" ht="18">
      <c r="A245" s="24"/>
      <c r="B245" s="86" t="s">
        <v>718</v>
      </c>
      <c r="C245" s="24"/>
      <c r="D245" s="24"/>
      <c r="E245" s="24"/>
      <c r="F245" s="24"/>
      <c r="G245" s="24"/>
      <c r="H245" s="79"/>
      <c r="I245" s="80"/>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row>
    <row r="246" ht="12.75">
      <c r="A246" s="2" t="str">
        <f>CONCATENATE(Préfixes!$B$3,":P",ROW(A246))</f>
        <v>med:P246</v>
      </c>
      <c r="B246" s="2" t="s">
        <v>265</v>
      </c>
      <c r="C246" s="2" t="s">
        <v>142</v>
      </c>
      <c r="D246" s="2"/>
      <c r="E246" s="8" t="s">
        <v>266</v>
      </c>
      <c r="F246" s="8" t="s">
        <v>220</v>
      </c>
      <c r="G246" s="8"/>
      <c r="H246" s="48">
        <v>1</v>
      </c>
      <c r="I246" s="49"/>
      <c r="J246" s="2" t="s">
        <v>268</v>
      </c>
      <c r="K246" s="2" t="s">
        <v>269</v>
      </c>
      <c r="L246" s="2"/>
      <c r="M246" s="57" t="str">
        <f t="shared" si="18"/>
        <v>rdf:langString</v>
      </c>
      <c r="N246" s="45" t="str">
        <f t="shared" si="19"/>
        <v/>
      </c>
      <c r="O246" s="45" t="str">
        <f t="shared" si="20"/>
        <v/>
      </c>
      <c r="P246" s="8" t="s">
        <v>270</v>
      </c>
      <c r="Q246" s="8"/>
      <c r="R246" s="2" t="s">
        <v>271</v>
      </c>
      <c r="T246" s="8" t="str">
        <f t="shared" si="17"/>
        <v/>
      </c>
    </row>
    <row r="247" ht="12.75">
      <c r="A247" s="2" t="str">
        <f>CONCATENATE(Préfixes!$B$3,":P",ROW(A247))</f>
        <v>med:P247</v>
      </c>
      <c r="B247" s="2" t="s">
        <v>261</v>
      </c>
      <c r="C247" s="2" t="s">
        <v>142</v>
      </c>
      <c r="D247" s="2"/>
      <c r="E247" s="8" t="s">
        <v>262</v>
      </c>
      <c r="F247" s="8" t="s">
        <v>706</v>
      </c>
      <c r="G247" s="8"/>
      <c r="H247" s="48">
        <v>1</v>
      </c>
      <c r="I247" s="49">
        <v>1</v>
      </c>
      <c r="J247" s="2" t="s">
        <v>268</v>
      </c>
      <c r="K247" s="2" t="s">
        <v>264</v>
      </c>
      <c r="L247" s="2"/>
      <c r="M247" s="71" t="str">
        <f t="shared" si="18"/>
        <v>xsd:string</v>
      </c>
      <c r="N247" s="2" t="str">
        <f t="shared" si="19"/>
        <v/>
      </c>
      <c r="O247" s="2" t="str">
        <f t="shared" si="20"/>
        <v/>
      </c>
      <c r="P247" s="8"/>
      <c r="Q247" s="8"/>
      <c r="T247" s="8" t="str">
        <f t="shared" si="17"/>
        <v/>
      </c>
    </row>
    <row r="248" ht="18">
      <c r="A248" s="24"/>
      <c r="B248" s="86" t="s">
        <v>719</v>
      </c>
      <c r="C248" s="24"/>
      <c r="D248" s="24"/>
      <c r="E248" s="78"/>
      <c r="F248" s="78"/>
      <c r="G248" s="78"/>
      <c r="H248" s="79"/>
      <c r="I248" s="80"/>
      <c r="J248" s="24"/>
      <c r="K248" s="24"/>
      <c r="L248" s="24"/>
      <c r="M248" s="24"/>
      <c r="N248" s="24"/>
      <c r="O248" s="24"/>
      <c r="P248" s="78"/>
      <c r="Q248" s="78"/>
      <c r="R248" s="24"/>
      <c r="S248" s="24"/>
      <c r="T248" s="78"/>
      <c r="U248" s="24"/>
      <c r="V248" s="24"/>
      <c r="W248" s="24"/>
      <c r="X248" s="24"/>
      <c r="Y248" s="24"/>
      <c r="Z248" s="24"/>
      <c r="AA248" s="24"/>
      <c r="AB248" s="24"/>
      <c r="AC248" s="24"/>
      <c r="AD248" s="24"/>
      <c r="AE248" s="24"/>
      <c r="AF248" s="24"/>
    </row>
    <row r="249" ht="18">
      <c r="A249" s="2" t="str">
        <f>CONCATENATE(Préfixes!$B$3,":P",ROW(A249))</f>
        <v>med:P249</v>
      </c>
      <c r="B249" s="2" t="s">
        <v>265</v>
      </c>
      <c r="C249" t="s">
        <v>146</v>
      </c>
      <c r="D249" s="2"/>
      <c r="E249" s="8" t="s">
        <v>266</v>
      </c>
      <c r="F249" s="8" t="s">
        <v>220</v>
      </c>
      <c r="G249" s="8"/>
      <c r="H249" s="48">
        <v>1</v>
      </c>
      <c r="I249" s="49"/>
      <c r="J249" s="2" t="s">
        <v>268</v>
      </c>
      <c r="K249" s="2" t="s">
        <v>269</v>
      </c>
      <c r="L249" s="2"/>
      <c r="M249" s="57" t="str">
        <f t="shared" si="18"/>
        <v>rdf:langString</v>
      </c>
      <c r="N249" s="45" t="str">
        <f t="shared" si="19"/>
        <v/>
      </c>
      <c r="O249" s="45" t="str">
        <f t="shared" si="20"/>
        <v/>
      </c>
      <c r="P249" s="8" t="s">
        <v>270</v>
      </c>
      <c r="Q249" s="8"/>
      <c r="R249" s="2" t="s">
        <v>271</v>
      </c>
      <c r="T249" s="8" t="str">
        <f t="shared" si="17"/>
        <v/>
      </c>
      <c r="U249" s="24"/>
      <c r="V249" s="24"/>
      <c r="W249" s="24"/>
      <c r="X249" s="24"/>
      <c r="Y249" s="24"/>
      <c r="Z249" s="24"/>
      <c r="AA249" s="24"/>
      <c r="AB249" s="24"/>
      <c r="AC249" s="24"/>
      <c r="AD249" s="24"/>
      <c r="AE249" s="24"/>
      <c r="AF249" s="24"/>
    </row>
    <row r="250" ht="12.75">
      <c r="A250" s="2" t="str">
        <f>CONCATENATE(Préfixes!$B$3,":P",ROW(A250))</f>
        <v>med:P250</v>
      </c>
      <c r="B250" s="2" t="s">
        <v>261</v>
      </c>
      <c r="C250" s="2" t="s">
        <v>146</v>
      </c>
      <c r="D250" s="2"/>
      <c r="E250" s="8" t="s">
        <v>262</v>
      </c>
      <c r="F250" s="8" t="s">
        <v>706</v>
      </c>
      <c r="G250" s="8"/>
      <c r="H250" s="48">
        <v>1</v>
      </c>
      <c r="I250" s="49">
        <v>1</v>
      </c>
      <c r="J250" s="2" t="s">
        <v>268</v>
      </c>
      <c r="K250" s="2" t="s">
        <v>264</v>
      </c>
      <c r="L250" s="2"/>
      <c r="M250" s="71" t="str">
        <f t="shared" si="18"/>
        <v>xsd:string</v>
      </c>
      <c r="N250" s="2" t="str">
        <f t="shared" si="19"/>
        <v/>
      </c>
      <c r="O250" s="2" t="str">
        <f t="shared" si="20"/>
        <v/>
      </c>
      <c r="P250" s="8"/>
      <c r="Q250" s="8"/>
      <c r="T250" s="8" t="str">
        <f t="shared" si="17"/>
        <v/>
      </c>
    </row>
    <row r="251" ht="18">
      <c r="A251" s="43"/>
      <c r="B251" s="43" t="s">
        <v>720</v>
      </c>
      <c r="C251" s="43"/>
      <c r="D251" s="43"/>
      <c r="E251" s="87"/>
      <c r="F251" s="87"/>
      <c r="G251" s="87"/>
      <c r="H251" s="88"/>
      <c r="I251" s="89"/>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ht="12.75">
      <c r="A252" s="2" t="str">
        <f>CONCATENATE(Préfixes!$B$3,":P",ROW(A252))</f>
        <v>med:P252</v>
      </c>
      <c r="B252" s="2" t="s">
        <v>309</v>
      </c>
      <c r="C252" s="2" t="s">
        <v>221</v>
      </c>
      <c r="D252" s="2"/>
      <c r="E252" s="8" t="s">
        <v>721</v>
      </c>
      <c r="F252" s="8" t="s">
        <v>722</v>
      </c>
      <c r="G252" s="8"/>
      <c r="H252" s="48">
        <v>1</v>
      </c>
      <c r="I252" s="49">
        <v>1</v>
      </c>
      <c r="J252" s="2" t="s">
        <v>268</v>
      </c>
      <c r="K252" s="2" t="s">
        <v>312</v>
      </c>
      <c r="L252" s="2"/>
      <c r="M252" s="57" t="str">
        <f t="shared" si="18"/>
        <v>xsd:date</v>
      </c>
      <c r="N252" s="45" t="str">
        <f t="shared" si="19"/>
        <v/>
      </c>
      <c r="O252" s="45" t="str">
        <f t="shared" si="20"/>
        <v/>
      </c>
      <c r="P252" s="8"/>
      <c r="Q252" s="8"/>
      <c r="T252" s="8" t="str">
        <f t="shared" si="17"/>
        <v/>
      </c>
    </row>
    <row r="253" ht="12.75">
      <c r="A253" s="2" t="str">
        <f>CONCATENATE(Préfixes!$B$3,":P",ROW(A253))</f>
        <v>med:P253</v>
      </c>
      <c r="B253" s="2" t="s">
        <v>313</v>
      </c>
      <c r="C253" s="2" t="s">
        <v>221</v>
      </c>
      <c r="D253" s="2"/>
      <c r="E253" s="8" t="s">
        <v>723</v>
      </c>
      <c r="F253" s="8" t="s">
        <v>724</v>
      </c>
      <c r="G253" s="8"/>
      <c r="H253" s="48"/>
      <c r="I253" s="49">
        <v>1</v>
      </c>
      <c r="J253" s="2" t="s">
        <v>268</v>
      </c>
      <c r="K253" s="2" t="s">
        <v>312</v>
      </c>
      <c r="L253" s="2"/>
      <c r="M253" s="57" t="str">
        <f t="shared" si="18"/>
        <v>xsd:date</v>
      </c>
      <c r="N253" s="45" t="str">
        <f t="shared" si="19"/>
        <v/>
      </c>
      <c r="O253" s="45" t="str">
        <f t="shared" si="20"/>
        <v/>
      </c>
      <c r="P253" s="8"/>
      <c r="Q253" s="8"/>
      <c r="T253" s="8" t="str">
        <f t="shared" si="17"/>
        <v/>
      </c>
    </row>
    <row r="254" ht="25.5">
      <c r="A254" s="2" t="str">
        <f>CONCATENATE(Préfixes!$B$3,":P",ROW(A254))</f>
        <v>med:P254</v>
      </c>
      <c r="B254" s="2" t="s">
        <v>725</v>
      </c>
      <c r="C254" s="2" t="s">
        <v>221</v>
      </c>
      <c r="D254" s="2"/>
      <c r="E254" s="8" t="s">
        <v>266</v>
      </c>
      <c r="F254" s="8" t="s">
        <v>726</v>
      </c>
      <c r="G254" s="8"/>
      <c r="H254" s="48">
        <v>1</v>
      </c>
      <c r="I254" s="49">
        <v>1</v>
      </c>
      <c r="J254" s="2" t="s">
        <v>268</v>
      </c>
      <c r="K254" s="2" t="s">
        <v>269</v>
      </c>
      <c r="L254" s="2"/>
      <c r="M254" s="57" t="str">
        <f t="shared" si="18"/>
        <v>rdf:langString</v>
      </c>
      <c r="N254" s="45" t="str">
        <f t="shared" si="19"/>
        <v/>
      </c>
      <c r="O254" s="45" t="str">
        <f t="shared" si="20"/>
        <v/>
      </c>
      <c r="P254" s="8"/>
      <c r="Q254" s="8"/>
      <c r="T254" s="8" t="str">
        <f t="shared" si="17"/>
        <v/>
      </c>
    </row>
    <row r="255" ht="12.75">
      <c r="E255" s="8"/>
      <c r="F255" s="8"/>
      <c r="G255" s="8"/>
      <c r="H255" s="48"/>
      <c r="I255" s="49"/>
      <c r="M255" s="45"/>
      <c r="N255" s="45"/>
      <c r="O255" s="45"/>
      <c r="P255" s="8"/>
      <c r="Q255" s="8"/>
    </row>
    <row r="256" ht="12.75">
      <c r="E256" s="8"/>
      <c r="F256" s="8"/>
      <c r="G256" s="8"/>
      <c r="H256" s="48"/>
      <c r="I256" s="49"/>
      <c r="M256" s="45"/>
      <c r="N256" s="45"/>
      <c r="O256" s="45"/>
      <c r="P256" s="8"/>
      <c r="Q256" s="8"/>
    </row>
    <row r="257" ht="12.75">
      <c r="E257" s="8"/>
      <c r="F257" s="8"/>
      <c r="G257" s="8"/>
      <c r="H257" s="48"/>
      <c r="I257" s="49"/>
      <c r="M257" s="45"/>
      <c r="N257" s="45"/>
      <c r="O257" s="45"/>
      <c r="P257" s="8"/>
      <c r="Q257" s="8"/>
    </row>
    <row r="258" ht="12.75">
      <c r="E258" s="8"/>
      <c r="F258" s="8"/>
      <c r="G258" s="8"/>
      <c r="H258" s="48"/>
      <c r="I258" s="49"/>
      <c r="M258" s="45"/>
      <c r="N258" s="45"/>
      <c r="O258" s="45"/>
      <c r="P258" s="8"/>
      <c r="Q258" s="8"/>
    </row>
    <row r="259" ht="12.75">
      <c r="E259" s="8"/>
      <c r="F259" s="8"/>
      <c r="G259" s="8"/>
      <c r="H259" s="48"/>
      <c r="I259" s="49"/>
      <c r="M259" s="45"/>
      <c r="N259" s="45"/>
      <c r="O259" s="45"/>
      <c r="P259" s="8"/>
      <c r="Q259" s="8"/>
    </row>
    <row r="260" ht="12.75">
      <c r="E260" s="8"/>
      <c r="F260" s="8"/>
      <c r="G260" s="8"/>
      <c r="H260" s="48"/>
      <c r="I260" s="49"/>
      <c r="M260" s="45"/>
      <c r="N260" s="45"/>
      <c r="O260" s="45"/>
      <c r="P260" s="8"/>
      <c r="Q260" s="8"/>
    </row>
    <row r="261" ht="12.75">
      <c r="E261" s="8"/>
      <c r="F261" s="8"/>
      <c r="G261" s="8"/>
      <c r="H261" s="48"/>
      <c r="I261" s="49"/>
      <c r="M261" s="45"/>
      <c r="N261" s="45"/>
      <c r="O261" s="45"/>
      <c r="P261" s="8"/>
      <c r="Q261" s="8"/>
    </row>
    <row r="262" ht="12.75">
      <c r="E262" s="8"/>
      <c r="F262" s="8"/>
      <c r="G262" s="8"/>
      <c r="H262" s="48"/>
      <c r="I262" s="49"/>
      <c r="M262" s="45"/>
      <c r="N262" s="45"/>
      <c r="O262" s="45"/>
      <c r="P262" s="8"/>
      <c r="Q262" s="8"/>
    </row>
    <row r="263" ht="12.75">
      <c r="E263" s="8"/>
      <c r="F263" s="8"/>
      <c r="G263" s="8"/>
      <c r="H263" s="48"/>
      <c r="I263" s="49"/>
      <c r="M263" s="45"/>
      <c r="N263" s="45"/>
      <c r="O263" s="45"/>
      <c r="P263" s="8"/>
      <c r="Q263" s="8"/>
    </row>
    <row r="264" ht="12.75">
      <c r="E264" s="8"/>
      <c r="F264" s="8"/>
      <c r="G264" s="8"/>
      <c r="H264" s="48"/>
      <c r="I264" s="49"/>
      <c r="M264" s="45"/>
      <c r="N264" s="45"/>
      <c r="O264" s="45"/>
      <c r="P264" s="8"/>
      <c r="Q264" s="8"/>
    </row>
    <row r="265" ht="12.75">
      <c r="E265" s="8"/>
      <c r="F265" s="8"/>
      <c r="G265" s="8"/>
      <c r="H265" s="48"/>
      <c r="I265" s="49"/>
      <c r="M265" s="45"/>
      <c r="N265" s="45"/>
      <c r="O265" s="45"/>
      <c r="P265" s="8"/>
      <c r="Q265" s="8"/>
    </row>
    <row r="266" ht="12.75">
      <c r="E266" s="8"/>
      <c r="F266" s="8"/>
      <c r="G266" s="8"/>
      <c r="H266" s="48"/>
      <c r="I266" s="49"/>
      <c r="M266" s="45"/>
      <c r="N266" s="45"/>
      <c r="O266" s="45"/>
      <c r="P266" s="8"/>
      <c r="Q266" s="8"/>
    </row>
    <row r="267" ht="12.75">
      <c r="E267" s="8"/>
      <c r="F267" s="8"/>
      <c r="G267" s="8"/>
      <c r="H267" s="48"/>
      <c r="I267" s="49"/>
      <c r="M267" s="45"/>
      <c r="N267" s="45"/>
      <c r="O267" s="45"/>
      <c r="P267" s="8"/>
      <c r="Q267" s="8"/>
    </row>
    <row r="268" ht="12.75">
      <c r="E268" s="8"/>
      <c r="F268" s="8"/>
      <c r="G268" s="8"/>
      <c r="H268" s="48"/>
      <c r="I268" s="49"/>
      <c r="M268" s="45"/>
      <c r="N268" s="45"/>
      <c r="O268" s="45"/>
      <c r="P268" s="8"/>
      <c r="Q268" s="8"/>
    </row>
    <row r="269" ht="12.75">
      <c r="E269" s="8"/>
      <c r="F269" s="8"/>
      <c r="G269" s="8"/>
      <c r="H269" s="48"/>
      <c r="I269" s="49"/>
      <c r="M269" s="45"/>
      <c r="N269" s="45"/>
      <c r="O269" s="45"/>
      <c r="P269" s="8"/>
      <c r="Q269" s="8"/>
    </row>
    <row r="270" ht="12.75">
      <c r="E270" s="8"/>
      <c r="F270" s="8"/>
      <c r="G270" s="8"/>
      <c r="H270" s="48"/>
      <c r="I270" s="49"/>
      <c r="M270" s="45"/>
      <c r="N270" s="45"/>
      <c r="O270" s="45"/>
      <c r="P270" s="8"/>
      <c r="Q270" s="8"/>
    </row>
    <row r="271" ht="12.75">
      <c r="E271" s="8"/>
      <c r="F271" s="8"/>
      <c r="G271" s="8"/>
      <c r="H271" s="48"/>
      <c r="I271" s="49"/>
      <c r="M271" s="45"/>
      <c r="N271" s="45"/>
      <c r="O271" s="45"/>
      <c r="P271" s="8"/>
      <c r="Q271" s="8"/>
    </row>
    <row r="272" ht="12.75">
      <c r="E272" s="8"/>
      <c r="F272" s="8"/>
      <c r="G272" s="8"/>
      <c r="H272" s="48"/>
      <c r="I272" s="49"/>
      <c r="M272" s="45"/>
      <c r="N272" s="45"/>
      <c r="O272" s="45"/>
      <c r="P272" s="8"/>
      <c r="Q272" s="8"/>
    </row>
    <row r="273" ht="12.75">
      <c r="E273" s="8"/>
      <c r="F273" s="8"/>
      <c r="G273" s="8"/>
      <c r="H273" s="48"/>
      <c r="I273" s="49"/>
      <c r="M273" s="45"/>
      <c r="N273" s="45"/>
      <c r="O273" s="45"/>
      <c r="P273" s="8"/>
      <c r="Q273" s="8"/>
    </row>
    <row r="274" ht="12.75">
      <c r="E274" s="8"/>
      <c r="F274" s="8"/>
      <c r="G274" s="8"/>
      <c r="H274" s="48"/>
      <c r="I274" s="49"/>
      <c r="M274" s="45"/>
      <c r="N274" s="45"/>
      <c r="O274" s="45"/>
      <c r="P274" s="8"/>
      <c r="Q274" s="8"/>
    </row>
    <row r="275" ht="12.75">
      <c r="E275" s="8"/>
      <c r="F275" s="8"/>
      <c r="G275" s="8"/>
      <c r="H275" s="48"/>
      <c r="I275" s="49"/>
      <c r="M275" s="45"/>
      <c r="N275" s="45"/>
      <c r="O275" s="45"/>
      <c r="P275" s="8"/>
      <c r="Q275" s="8"/>
    </row>
    <row r="276" ht="12.75">
      <c r="E276" s="8"/>
      <c r="F276" s="8"/>
      <c r="G276" s="8"/>
      <c r="H276" s="48"/>
      <c r="I276" s="49"/>
      <c r="M276" s="45"/>
      <c r="N276" s="45"/>
      <c r="O276" s="45"/>
      <c r="P276" s="8"/>
      <c r="Q276" s="8"/>
    </row>
    <row r="277" ht="12.75">
      <c r="E277" s="8"/>
      <c r="F277" s="8"/>
      <c r="G277" s="8"/>
      <c r="H277" s="48"/>
      <c r="I277" s="49"/>
      <c r="M277" s="45"/>
      <c r="N277" s="45"/>
      <c r="O277" s="45"/>
      <c r="P277" s="8"/>
      <c r="Q277" s="8"/>
    </row>
    <row r="278" ht="12.75">
      <c r="E278" s="8"/>
      <c r="F278" s="8"/>
      <c r="G278" s="8"/>
      <c r="H278" s="48"/>
      <c r="I278" s="49"/>
      <c r="M278" s="45"/>
      <c r="N278" s="45"/>
      <c r="O278" s="45"/>
      <c r="P278" s="8"/>
      <c r="Q278" s="8"/>
    </row>
    <row r="279" ht="12.75">
      <c r="E279" s="8"/>
      <c r="F279" s="8"/>
      <c r="G279" s="8"/>
      <c r="H279" s="48"/>
      <c r="I279" s="49"/>
      <c r="M279" s="45"/>
      <c r="N279" s="45"/>
      <c r="O279" s="45"/>
      <c r="P279" s="8"/>
      <c r="Q279" s="8"/>
    </row>
    <row r="280" ht="12.75">
      <c r="E280" s="8"/>
      <c r="F280" s="8"/>
      <c r="G280" s="8"/>
      <c r="H280" s="48"/>
      <c r="I280" s="49"/>
      <c r="M280" s="45"/>
      <c r="N280" s="45"/>
      <c r="O280" s="45"/>
      <c r="P280" s="8"/>
      <c r="Q280" s="8"/>
    </row>
    <row r="281" ht="12.75">
      <c r="E281" s="8"/>
      <c r="F281" s="8"/>
      <c r="G281" s="8"/>
      <c r="H281" s="48"/>
      <c r="I281" s="49"/>
      <c r="M281" s="45"/>
      <c r="N281" s="45"/>
      <c r="O281" s="45"/>
      <c r="P281" s="8"/>
      <c r="Q281" s="8"/>
    </row>
    <row r="282" ht="12.75">
      <c r="E282" s="8"/>
      <c r="F282" s="8"/>
      <c r="G282" s="8"/>
      <c r="H282" s="48"/>
      <c r="I282" s="49"/>
      <c r="M282" s="45"/>
      <c r="N282" s="45"/>
      <c r="O282" s="45"/>
      <c r="P282" s="8"/>
      <c r="Q282" s="8"/>
    </row>
    <row r="283" ht="12.75">
      <c r="E283" s="8"/>
      <c r="F283" s="8"/>
      <c r="G283" s="8"/>
      <c r="H283" s="48"/>
      <c r="I283" s="49"/>
      <c r="M283" s="45"/>
      <c r="N283" s="45"/>
      <c r="O283" s="45"/>
      <c r="P283" s="8"/>
      <c r="Q283" s="8"/>
    </row>
    <row r="284" ht="12.75">
      <c r="E284" s="8"/>
      <c r="F284" s="8"/>
      <c r="G284" s="8"/>
      <c r="H284" s="48"/>
      <c r="I284" s="49"/>
      <c r="M284" s="45"/>
      <c r="N284" s="45"/>
      <c r="O284" s="45"/>
      <c r="P284" s="8"/>
      <c r="Q284" s="8"/>
    </row>
    <row r="285" ht="12.75">
      <c r="E285" s="8"/>
      <c r="F285" s="8"/>
      <c r="G285" s="8"/>
      <c r="H285" s="48"/>
      <c r="I285" s="49"/>
      <c r="M285" s="45"/>
      <c r="N285" s="45"/>
      <c r="O285" s="45"/>
      <c r="P285" s="8"/>
      <c r="Q285" s="8"/>
    </row>
    <row r="286" ht="12.75">
      <c r="E286" s="8"/>
      <c r="F286" s="8"/>
      <c r="G286" s="8"/>
      <c r="H286" s="48"/>
      <c r="I286" s="49"/>
      <c r="M286" s="45"/>
      <c r="N286" s="45"/>
      <c r="O286" s="45"/>
      <c r="P286" s="8"/>
      <c r="Q286" s="8"/>
    </row>
    <row r="287" ht="12.75">
      <c r="E287" s="8"/>
      <c r="F287" s="8"/>
      <c r="G287" s="8"/>
      <c r="H287" s="48"/>
      <c r="I287" s="49"/>
      <c r="M287" s="45"/>
      <c r="N287" s="45"/>
      <c r="O287" s="45"/>
      <c r="P287" s="8"/>
      <c r="Q287" s="8"/>
    </row>
    <row r="288" ht="12.75">
      <c r="E288" s="8"/>
      <c r="F288" s="8"/>
      <c r="G288" s="8"/>
      <c r="H288" s="48"/>
      <c r="I288" s="49"/>
      <c r="M288" s="45"/>
      <c r="N288" s="45"/>
      <c r="O288" s="45"/>
      <c r="P288" s="8"/>
      <c r="Q288" s="8"/>
    </row>
    <row r="289" ht="12.75">
      <c r="E289" s="8"/>
      <c r="F289" s="8"/>
      <c r="G289" s="8"/>
      <c r="H289" s="48"/>
      <c r="I289" s="49"/>
      <c r="M289" s="45"/>
      <c r="N289" s="45"/>
      <c r="O289" s="45"/>
      <c r="P289" s="8"/>
      <c r="Q289" s="8"/>
    </row>
    <row r="290" ht="12.75">
      <c r="E290" s="8"/>
      <c r="F290" s="8"/>
      <c r="G290" s="8"/>
      <c r="H290" s="48"/>
      <c r="I290" s="49"/>
      <c r="M290" s="45"/>
      <c r="N290" s="45"/>
      <c r="O290" s="45"/>
      <c r="P290" s="8"/>
      <c r="Q290" s="8"/>
    </row>
    <row r="291" ht="12.75">
      <c r="E291" s="8"/>
      <c r="F291" s="8"/>
      <c r="G291" s="8"/>
      <c r="H291" s="48"/>
      <c r="I291" s="49"/>
      <c r="M291" s="45"/>
      <c r="N291" s="45"/>
      <c r="O291" s="45"/>
      <c r="P291" s="8"/>
      <c r="Q291" s="8"/>
    </row>
    <row r="292" ht="12.75">
      <c r="E292" s="8"/>
      <c r="F292" s="8"/>
      <c r="G292" s="8"/>
      <c r="H292" s="48"/>
      <c r="I292" s="49"/>
      <c r="M292" s="45"/>
      <c r="N292" s="45"/>
      <c r="O292" s="45"/>
      <c r="P292" s="8"/>
      <c r="Q292" s="8"/>
    </row>
    <row r="293" ht="12.75">
      <c r="E293" s="8"/>
      <c r="F293" s="8"/>
      <c r="G293" s="8"/>
      <c r="H293" s="48"/>
      <c r="I293" s="49"/>
      <c r="M293" s="45"/>
      <c r="N293" s="45"/>
      <c r="O293" s="45"/>
      <c r="P293" s="8"/>
      <c r="Q293" s="8"/>
    </row>
    <row r="294" ht="12.75">
      <c r="E294" s="8"/>
      <c r="F294" s="8"/>
      <c r="G294" s="8"/>
      <c r="H294" s="48"/>
      <c r="I294" s="49"/>
      <c r="M294" s="45"/>
      <c r="N294" s="45"/>
      <c r="O294" s="45"/>
      <c r="P294" s="8"/>
      <c r="Q294" s="8"/>
    </row>
    <row r="295" ht="12.75">
      <c r="E295" s="8"/>
      <c r="F295" s="8"/>
      <c r="G295" s="8"/>
      <c r="H295" s="48"/>
      <c r="I295" s="49"/>
      <c r="M295" s="45"/>
      <c r="N295" s="45"/>
      <c r="O295" s="45"/>
      <c r="P295" s="8"/>
      <c r="Q295" s="8"/>
    </row>
    <row r="296" ht="12.75">
      <c r="E296" s="8"/>
      <c r="F296" s="8"/>
      <c r="G296" s="8"/>
      <c r="H296" s="48"/>
      <c r="I296" s="49"/>
      <c r="M296" s="45"/>
      <c r="N296" s="45"/>
      <c r="O296" s="45"/>
      <c r="P296" s="8"/>
      <c r="Q296" s="8"/>
    </row>
    <row r="297" ht="12.75">
      <c r="E297" s="8"/>
      <c r="F297" s="8"/>
      <c r="G297" s="8"/>
      <c r="H297" s="48"/>
      <c r="I297" s="49"/>
      <c r="M297" s="45"/>
      <c r="N297" s="45"/>
      <c r="O297" s="45"/>
      <c r="P297" s="8"/>
      <c r="Q297" s="8"/>
    </row>
    <row r="298" ht="12.75">
      <c r="E298" s="8"/>
      <c r="F298" s="8"/>
      <c r="G298" s="8"/>
      <c r="H298" s="48"/>
      <c r="I298" s="49"/>
      <c r="M298" s="45"/>
      <c r="N298" s="45"/>
      <c r="O298" s="45"/>
      <c r="P298" s="8"/>
      <c r="Q298" s="8"/>
    </row>
    <row r="299" ht="12.75">
      <c r="E299" s="8"/>
      <c r="F299" s="8"/>
      <c r="G299" s="8"/>
      <c r="H299" s="48"/>
      <c r="I299" s="49"/>
      <c r="M299" s="45"/>
      <c r="N299" s="45"/>
      <c r="O299" s="45"/>
      <c r="P299" s="8"/>
      <c r="Q299" s="8"/>
    </row>
    <row r="300" ht="12.75">
      <c r="E300" s="8"/>
      <c r="F300" s="8"/>
      <c r="G300" s="8"/>
      <c r="H300" s="48"/>
      <c r="I300" s="49"/>
      <c r="M300" s="45"/>
      <c r="N300" s="45"/>
      <c r="O300" s="45"/>
      <c r="P300" s="8"/>
      <c r="Q300" s="8"/>
    </row>
    <row r="301" ht="12.75">
      <c r="E301" s="8"/>
      <c r="F301" s="8"/>
      <c r="G301" s="8"/>
      <c r="H301" s="48"/>
      <c r="I301" s="49"/>
      <c r="M301" s="45"/>
      <c r="N301" s="45"/>
      <c r="O301" s="45"/>
      <c r="P301" s="8"/>
      <c r="Q301" s="8"/>
    </row>
    <row r="302" ht="12.75">
      <c r="E302" s="8"/>
      <c r="F302" s="8"/>
      <c r="G302" s="8"/>
      <c r="H302" s="48"/>
      <c r="I302" s="49"/>
      <c r="M302" s="45"/>
      <c r="N302" s="45"/>
      <c r="O302" s="45"/>
      <c r="P302" s="8"/>
      <c r="Q302" s="8"/>
    </row>
    <row r="303" ht="12.75">
      <c r="E303" s="8"/>
      <c r="F303" s="8"/>
      <c r="G303" s="8"/>
      <c r="H303" s="48"/>
      <c r="I303" s="49"/>
      <c r="M303" s="45"/>
      <c r="N303" s="45"/>
      <c r="O303" s="45"/>
      <c r="P303" s="8"/>
      <c r="Q303" s="8"/>
    </row>
    <row r="304" ht="12.75">
      <c r="E304" s="8"/>
      <c r="F304" s="8"/>
      <c r="G304" s="8"/>
      <c r="H304" s="48"/>
      <c r="I304" s="49"/>
      <c r="M304" s="45"/>
      <c r="N304" s="45"/>
      <c r="O304" s="45"/>
      <c r="P304" s="8"/>
      <c r="Q304" s="8"/>
    </row>
    <row r="305" ht="12.75">
      <c r="E305" s="8"/>
      <c r="F305" s="8"/>
      <c r="G305" s="8"/>
      <c r="H305" s="48"/>
      <c r="I305" s="49"/>
      <c r="M305" s="45"/>
      <c r="N305" s="45"/>
      <c r="O305" s="45"/>
      <c r="P305" s="8"/>
      <c r="Q305" s="8"/>
    </row>
    <row r="306" ht="12.75">
      <c r="E306" s="8"/>
      <c r="F306" s="8"/>
      <c r="G306" s="8"/>
      <c r="H306" s="48"/>
      <c r="I306" s="49"/>
      <c r="M306" s="45"/>
      <c r="N306" s="45"/>
      <c r="O306" s="45"/>
      <c r="P306" s="8"/>
      <c r="Q306" s="8"/>
    </row>
    <row r="307" ht="12.75">
      <c r="E307" s="8"/>
      <c r="F307" s="8"/>
      <c r="G307" s="8"/>
      <c r="H307" s="48"/>
      <c r="I307" s="49"/>
      <c r="M307" s="45"/>
      <c r="N307" s="45"/>
      <c r="O307" s="45"/>
      <c r="P307" s="8"/>
      <c r="Q307" s="8"/>
    </row>
    <row r="308" ht="12.75">
      <c r="E308" s="8"/>
      <c r="F308" s="8"/>
      <c r="G308" s="8"/>
      <c r="H308" s="48"/>
      <c r="I308" s="49"/>
      <c r="M308" s="45"/>
      <c r="N308" s="45"/>
      <c r="O308" s="45"/>
      <c r="P308" s="8"/>
      <c r="Q308" s="8"/>
    </row>
    <row r="309" ht="12.75">
      <c r="E309" s="8"/>
      <c r="F309" s="8"/>
      <c r="G309" s="8"/>
      <c r="H309" s="48"/>
      <c r="I309" s="49"/>
      <c r="M309" s="45"/>
      <c r="N309" s="45"/>
      <c r="O309" s="45"/>
      <c r="P309" s="8"/>
      <c r="Q309" s="8"/>
    </row>
    <row r="310" ht="12.75">
      <c r="E310" s="8"/>
      <c r="F310" s="8"/>
      <c r="G310" s="8"/>
      <c r="H310" s="48"/>
      <c r="I310" s="49"/>
      <c r="M310" s="45"/>
      <c r="N310" s="45"/>
      <c r="O310" s="45"/>
      <c r="P310" s="8"/>
      <c r="Q310" s="8"/>
    </row>
    <row r="311" ht="12.75">
      <c r="E311" s="8"/>
      <c r="F311" s="8"/>
      <c r="G311" s="8"/>
      <c r="H311" s="48"/>
      <c r="I311" s="49"/>
      <c r="M311" s="45"/>
      <c r="N311" s="45"/>
      <c r="O311" s="45"/>
      <c r="P311" s="8"/>
      <c r="Q311" s="8"/>
    </row>
    <row r="312" ht="12.75">
      <c r="E312" s="8"/>
      <c r="F312" s="8"/>
      <c r="G312" s="8"/>
      <c r="H312" s="48"/>
      <c r="I312" s="49"/>
      <c r="M312" s="45"/>
      <c r="N312" s="45"/>
      <c r="O312" s="45"/>
      <c r="P312" s="8"/>
      <c r="Q312" s="8"/>
    </row>
    <row r="313" ht="12.75">
      <c r="E313" s="8"/>
      <c r="F313" s="8"/>
      <c r="G313" s="8"/>
      <c r="H313" s="48"/>
      <c r="I313" s="49"/>
      <c r="M313" s="45"/>
      <c r="N313" s="45"/>
      <c r="O313" s="45"/>
      <c r="P313" s="8"/>
      <c r="Q313" s="8"/>
    </row>
    <row r="314" ht="12.75">
      <c r="E314" s="8"/>
      <c r="F314" s="8"/>
      <c r="G314" s="8"/>
      <c r="H314" s="48"/>
      <c r="I314" s="49"/>
      <c r="M314" s="45"/>
      <c r="N314" s="45"/>
      <c r="O314" s="45"/>
      <c r="P314" s="8"/>
      <c r="Q314" s="8"/>
    </row>
    <row r="315" ht="12.75">
      <c r="E315" s="8"/>
      <c r="F315" s="8"/>
      <c r="G315" s="8"/>
      <c r="H315" s="48"/>
      <c r="I315" s="49"/>
      <c r="M315" s="45"/>
      <c r="N315" s="45"/>
      <c r="O315" s="45"/>
      <c r="P315" s="8"/>
      <c r="Q315" s="8"/>
    </row>
    <row r="316" ht="12.75">
      <c r="E316" s="8"/>
      <c r="F316" s="8"/>
      <c r="G316" s="8"/>
      <c r="H316" s="48"/>
      <c r="I316" s="49"/>
      <c r="M316" s="45"/>
      <c r="N316" s="45"/>
      <c r="O316" s="45"/>
      <c r="P316" s="8"/>
      <c r="Q316" s="8"/>
    </row>
    <row r="317" ht="12.75">
      <c r="E317" s="8"/>
      <c r="F317" s="8"/>
      <c r="G317" s="8"/>
      <c r="H317" s="48"/>
      <c r="I317" s="49"/>
      <c r="M317" s="45"/>
      <c r="N317" s="45"/>
      <c r="O317" s="45"/>
      <c r="P317" s="8"/>
      <c r="Q317" s="8"/>
    </row>
    <row r="318" ht="12.75">
      <c r="E318" s="8"/>
      <c r="F318" s="8"/>
      <c r="G318" s="8"/>
      <c r="H318" s="48"/>
      <c r="I318" s="49"/>
      <c r="M318" s="45"/>
      <c r="N318" s="45"/>
      <c r="O318" s="45"/>
      <c r="P318" s="8"/>
      <c r="Q318" s="8"/>
    </row>
    <row r="319" ht="12.75">
      <c r="E319" s="8"/>
      <c r="F319" s="8"/>
      <c r="G319" s="8"/>
      <c r="H319" s="48"/>
      <c r="I319" s="49"/>
      <c r="M319" s="45"/>
      <c r="N319" s="45"/>
      <c r="O319" s="45"/>
      <c r="P319" s="8"/>
      <c r="Q319" s="8"/>
    </row>
    <row r="320" ht="12.75">
      <c r="E320" s="8"/>
      <c r="F320" s="8"/>
      <c r="G320" s="8"/>
      <c r="H320" s="48"/>
      <c r="I320" s="49"/>
      <c r="M320" s="45"/>
      <c r="N320" s="45"/>
      <c r="O320" s="45"/>
      <c r="P320" s="8"/>
      <c r="Q320" s="8"/>
    </row>
    <row r="321" ht="12.75">
      <c r="E321" s="8"/>
      <c r="F321" s="8"/>
      <c r="G321" s="8"/>
      <c r="H321" s="48"/>
      <c r="I321" s="49"/>
      <c r="M321" s="45"/>
      <c r="N321" s="45"/>
      <c r="O321" s="45"/>
      <c r="P321" s="8"/>
      <c r="Q321" s="8"/>
    </row>
    <row r="322" ht="12.75">
      <c r="E322" s="8"/>
      <c r="F322" s="8"/>
      <c r="G322" s="8"/>
      <c r="H322" s="48"/>
      <c r="I322" s="49"/>
      <c r="M322" s="45"/>
      <c r="N322" s="45"/>
      <c r="O322" s="45"/>
      <c r="P322" s="8"/>
      <c r="Q322" s="8"/>
    </row>
    <row r="323" ht="12.75">
      <c r="E323" s="8"/>
      <c r="F323" s="8"/>
      <c r="G323" s="8"/>
      <c r="H323" s="48"/>
      <c r="I323" s="49"/>
      <c r="M323" s="45"/>
      <c r="N323" s="45"/>
      <c r="O323" s="45"/>
      <c r="P323" s="8"/>
      <c r="Q323" s="8"/>
    </row>
    <row r="324" ht="12.75">
      <c r="E324" s="8"/>
      <c r="F324" s="8"/>
      <c r="G324" s="8"/>
      <c r="H324" s="48"/>
      <c r="I324" s="49"/>
      <c r="M324" s="45"/>
      <c r="N324" s="45"/>
      <c r="O324" s="45"/>
      <c r="P324" s="8"/>
      <c r="Q324" s="8"/>
    </row>
    <row r="325" ht="12.75">
      <c r="E325" s="8"/>
      <c r="F325" s="8"/>
      <c r="G325" s="8"/>
      <c r="H325" s="48"/>
      <c r="I325" s="49"/>
      <c r="M325" s="45"/>
      <c r="N325" s="45"/>
      <c r="O325" s="45"/>
      <c r="P325" s="8"/>
      <c r="Q325" s="8"/>
    </row>
    <row r="326" ht="12.75">
      <c r="E326" s="8"/>
      <c r="F326" s="8"/>
      <c r="G326" s="8"/>
      <c r="H326" s="48"/>
      <c r="I326" s="49"/>
      <c r="M326" s="45"/>
      <c r="N326" s="45"/>
      <c r="O326" s="45"/>
      <c r="P326" s="8"/>
      <c r="Q326" s="8"/>
    </row>
    <row r="327" ht="12.75">
      <c r="E327" s="8"/>
      <c r="F327" s="8"/>
      <c r="G327" s="8"/>
      <c r="H327" s="48"/>
      <c r="I327" s="49"/>
      <c r="M327" s="45"/>
      <c r="N327" s="45"/>
      <c r="O327" s="45"/>
      <c r="P327" s="8"/>
      <c r="Q327" s="8"/>
    </row>
    <row r="328" ht="12.75">
      <c r="E328" s="8"/>
      <c r="F328" s="8"/>
      <c r="G328" s="8"/>
      <c r="H328" s="48"/>
      <c r="I328" s="49"/>
      <c r="M328" s="45"/>
      <c r="N328" s="45"/>
      <c r="O328" s="45"/>
      <c r="P328" s="8"/>
      <c r="Q328" s="8"/>
    </row>
    <row r="329" ht="12.75">
      <c r="E329" s="8"/>
      <c r="F329" s="8"/>
      <c r="G329" s="8"/>
      <c r="H329" s="48"/>
      <c r="I329" s="49"/>
      <c r="M329" s="45"/>
      <c r="N329" s="45"/>
      <c r="O329" s="45"/>
      <c r="P329" s="8"/>
      <c r="Q329" s="8"/>
    </row>
    <row r="330" ht="12.75">
      <c r="E330" s="8"/>
      <c r="F330" s="8"/>
      <c r="G330" s="8"/>
      <c r="H330" s="48"/>
      <c r="I330" s="49"/>
      <c r="M330" s="45"/>
      <c r="N330" s="45"/>
      <c r="O330" s="45"/>
      <c r="P330" s="8"/>
      <c r="Q330" s="8"/>
    </row>
    <row r="331" ht="12.75">
      <c r="E331" s="8"/>
      <c r="F331" s="8"/>
      <c r="G331" s="8"/>
      <c r="H331" s="48"/>
      <c r="I331" s="49"/>
      <c r="M331" s="45"/>
      <c r="N331" s="45"/>
      <c r="O331" s="45"/>
      <c r="P331" s="8"/>
      <c r="Q331" s="8"/>
    </row>
    <row r="332" ht="12.75">
      <c r="E332" s="8"/>
      <c r="F332" s="8"/>
      <c r="G332" s="8"/>
      <c r="H332" s="48"/>
      <c r="I332" s="49"/>
      <c r="M332" s="45"/>
      <c r="N332" s="45"/>
      <c r="O332" s="45"/>
      <c r="P332" s="8"/>
      <c r="Q332" s="8"/>
    </row>
    <row r="333" ht="12.75">
      <c r="E333" s="8"/>
      <c r="F333" s="8"/>
      <c r="G333" s="8"/>
      <c r="H333" s="48"/>
      <c r="I333" s="49"/>
      <c r="M333" s="45"/>
      <c r="N333" s="45"/>
      <c r="O333" s="45"/>
      <c r="P333" s="8"/>
      <c r="Q333" s="8"/>
    </row>
    <row r="334" ht="12.75">
      <c r="E334" s="8"/>
      <c r="F334" s="8"/>
      <c r="G334" s="8"/>
      <c r="H334" s="48"/>
      <c r="I334" s="49"/>
      <c r="M334" s="45"/>
      <c r="N334" s="45"/>
      <c r="O334" s="45"/>
      <c r="P334" s="8"/>
      <c r="Q334" s="8"/>
    </row>
    <row r="335" ht="12.75">
      <c r="E335" s="8"/>
      <c r="F335" s="8"/>
      <c r="G335" s="8"/>
      <c r="H335" s="48"/>
      <c r="I335" s="49"/>
      <c r="M335" s="45"/>
      <c r="N335" s="45"/>
      <c r="O335" s="45"/>
      <c r="P335" s="8"/>
      <c r="Q335" s="8"/>
    </row>
    <row r="336" ht="12.75">
      <c r="E336" s="8"/>
      <c r="F336" s="8"/>
      <c r="G336" s="8"/>
      <c r="H336" s="48"/>
      <c r="I336" s="49"/>
      <c r="M336" s="45"/>
      <c r="N336" s="45"/>
      <c r="O336" s="45"/>
      <c r="P336" s="8"/>
      <c r="Q336" s="8"/>
    </row>
    <row r="337" ht="12.75">
      <c r="E337" s="8"/>
      <c r="F337" s="8"/>
      <c r="G337" s="8"/>
      <c r="H337" s="48"/>
      <c r="I337" s="49"/>
      <c r="M337" s="45"/>
      <c r="N337" s="45"/>
      <c r="O337" s="45"/>
      <c r="P337" s="8"/>
      <c r="Q337" s="8"/>
    </row>
    <row r="338" ht="12.75">
      <c r="E338" s="8"/>
      <c r="F338" s="8"/>
      <c r="G338" s="8"/>
      <c r="H338" s="48"/>
      <c r="I338" s="49"/>
      <c r="M338" s="45"/>
      <c r="N338" s="45"/>
      <c r="O338" s="45"/>
      <c r="P338" s="8"/>
      <c r="Q338" s="8"/>
    </row>
    <row r="339" ht="12.75">
      <c r="E339" s="8"/>
      <c r="F339" s="8"/>
      <c r="G339" s="8"/>
      <c r="H339" s="48"/>
      <c r="I339" s="49"/>
      <c r="M339" s="45"/>
      <c r="N339" s="45"/>
      <c r="O339" s="45"/>
      <c r="P339" s="8"/>
      <c r="Q339" s="8"/>
    </row>
    <row r="340" ht="12.75">
      <c r="E340" s="8"/>
      <c r="F340" s="8"/>
      <c r="G340" s="8"/>
      <c r="H340" s="48"/>
      <c r="I340" s="49"/>
      <c r="M340" s="45"/>
      <c r="N340" s="45"/>
      <c r="O340" s="45"/>
      <c r="P340" s="8"/>
      <c r="Q340" s="8"/>
    </row>
    <row r="341" ht="12.75">
      <c r="E341" s="8"/>
      <c r="F341" s="8"/>
      <c r="G341" s="8"/>
      <c r="H341" s="48"/>
      <c r="I341" s="49"/>
      <c r="M341" s="45"/>
      <c r="N341" s="45"/>
      <c r="O341" s="45"/>
      <c r="P341" s="8"/>
      <c r="Q341" s="8"/>
    </row>
    <row r="342" ht="12.75">
      <c r="E342" s="8"/>
      <c r="F342" s="8"/>
      <c r="G342" s="8"/>
      <c r="H342" s="48"/>
      <c r="I342" s="49"/>
      <c r="M342" s="45"/>
      <c r="N342" s="45"/>
      <c r="O342" s="45"/>
      <c r="P342" s="8"/>
      <c r="Q342" s="8"/>
    </row>
    <row r="343" ht="12.75">
      <c r="E343" s="8"/>
      <c r="F343" s="8"/>
      <c r="G343" s="8"/>
      <c r="H343" s="48"/>
      <c r="I343" s="49"/>
      <c r="M343" s="45"/>
      <c r="N343" s="45"/>
      <c r="O343" s="45"/>
      <c r="P343" s="8"/>
      <c r="Q343" s="8"/>
    </row>
    <row r="344" ht="12.75">
      <c r="E344" s="8"/>
      <c r="F344" s="8"/>
      <c r="G344" s="8"/>
      <c r="H344" s="48"/>
      <c r="I344" s="49"/>
      <c r="M344" s="45"/>
      <c r="N344" s="45"/>
      <c r="O344" s="45"/>
      <c r="P344" s="8"/>
      <c r="Q344" s="8"/>
    </row>
    <row r="345" ht="12.75">
      <c r="E345" s="8"/>
      <c r="F345" s="8"/>
      <c r="G345" s="8"/>
      <c r="H345" s="48"/>
      <c r="I345" s="49"/>
      <c r="M345" s="45"/>
      <c r="N345" s="45"/>
      <c r="O345" s="45"/>
      <c r="P345" s="8"/>
      <c r="Q345" s="8"/>
    </row>
    <row r="346" ht="12.75">
      <c r="E346" s="8"/>
      <c r="F346" s="8"/>
      <c r="G346" s="8"/>
      <c r="H346" s="48"/>
      <c r="I346" s="49"/>
      <c r="M346" s="45"/>
      <c r="N346" s="45"/>
      <c r="O346" s="45"/>
      <c r="P346" s="8"/>
      <c r="Q346" s="8"/>
    </row>
    <row r="347" ht="12.75">
      <c r="E347" s="8"/>
      <c r="F347" s="8"/>
      <c r="G347" s="8"/>
      <c r="H347" s="48"/>
      <c r="I347" s="49"/>
      <c r="M347" s="45"/>
      <c r="N347" s="45"/>
      <c r="O347" s="45"/>
      <c r="P347" s="8"/>
      <c r="Q347" s="8"/>
    </row>
    <row r="348" ht="12.75">
      <c r="E348" s="8"/>
      <c r="F348" s="8"/>
      <c r="G348" s="8"/>
      <c r="H348" s="48"/>
      <c r="I348" s="49"/>
      <c r="M348" s="45"/>
      <c r="N348" s="45"/>
      <c r="O348" s="45"/>
      <c r="P348" s="8"/>
      <c r="Q348" s="8"/>
    </row>
    <row r="349" ht="12.75">
      <c r="E349" s="8"/>
      <c r="F349" s="8"/>
      <c r="G349" s="8"/>
      <c r="H349" s="48"/>
      <c r="I349" s="49"/>
      <c r="M349" s="45"/>
      <c r="N349" s="45"/>
      <c r="O349" s="45"/>
      <c r="P349" s="8"/>
      <c r="Q349" s="8"/>
    </row>
    <row r="350" ht="12.75">
      <c r="E350" s="8"/>
      <c r="F350" s="8"/>
      <c r="G350" s="8"/>
      <c r="H350" s="48"/>
      <c r="I350" s="49"/>
      <c r="M350" s="45"/>
      <c r="N350" s="45"/>
      <c r="O350" s="45"/>
      <c r="P350" s="8"/>
      <c r="Q350" s="8"/>
    </row>
    <row r="351" ht="12.75">
      <c r="E351" s="8"/>
      <c r="F351" s="8"/>
      <c r="G351" s="8"/>
      <c r="H351" s="48"/>
      <c r="I351" s="49"/>
      <c r="M351" s="45"/>
      <c r="N351" s="45"/>
      <c r="O351" s="45"/>
      <c r="P351" s="8"/>
      <c r="Q351" s="8"/>
    </row>
    <row r="352" ht="12.75">
      <c r="E352" s="8"/>
      <c r="F352" s="8"/>
      <c r="G352" s="8"/>
      <c r="H352" s="48"/>
      <c r="I352" s="49"/>
      <c r="M352" s="45"/>
      <c r="N352" s="45"/>
      <c r="O352" s="45"/>
      <c r="P352" s="8"/>
      <c r="Q352" s="8"/>
    </row>
    <row r="353" ht="12.75">
      <c r="E353" s="8"/>
      <c r="F353" s="8"/>
      <c r="G353" s="8"/>
      <c r="H353" s="48"/>
      <c r="I353" s="49"/>
      <c r="M353" s="45"/>
      <c r="N353" s="45"/>
      <c r="O353" s="45"/>
      <c r="P353" s="8"/>
      <c r="Q353" s="8"/>
    </row>
    <row r="354" ht="12.75">
      <c r="E354" s="8"/>
      <c r="F354" s="8"/>
      <c r="G354" s="8"/>
      <c r="H354" s="48"/>
      <c r="I354" s="49"/>
      <c r="M354" s="45"/>
      <c r="N354" s="45"/>
      <c r="O354" s="45"/>
      <c r="P354" s="8"/>
      <c r="Q354" s="8"/>
    </row>
    <row r="355" ht="12.75">
      <c r="E355" s="8"/>
      <c r="F355" s="8"/>
      <c r="G355" s="8"/>
      <c r="H355" s="48"/>
      <c r="I355" s="49"/>
      <c r="M355" s="45"/>
      <c r="N355" s="45"/>
      <c r="O355" s="45"/>
      <c r="P355" s="8"/>
      <c r="Q355" s="8"/>
    </row>
    <row r="356" ht="12.75">
      <c r="E356" s="8"/>
      <c r="F356" s="8"/>
      <c r="G356" s="8"/>
      <c r="H356" s="48"/>
      <c r="I356" s="49"/>
      <c r="M356" s="45"/>
      <c r="N356" s="45"/>
      <c r="O356" s="45"/>
      <c r="P356" s="8"/>
      <c r="Q356" s="8"/>
    </row>
    <row r="357" ht="12.75">
      <c r="E357" s="8"/>
      <c r="F357" s="8"/>
      <c r="G357" s="8"/>
      <c r="H357" s="48"/>
      <c r="I357" s="49"/>
      <c r="M357" s="45"/>
      <c r="N357" s="45"/>
      <c r="O357" s="45"/>
      <c r="P357" s="8"/>
      <c r="Q357" s="8"/>
    </row>
    <row r="358" ht="12.75">
      <c r="E358" s="8"/>
      <c r="F358" s="8"/>
      <c r="G358" s="8"/>
      <c r="H358" s="48"/>
      <c r="I358" s="49"/>
      <c r="M358" s="45"/>
      <c r="N358" s="45"/>
      <c r="O358" s="45"/>
      <c r="P358" s="8"/>
      <c r="Q358" s="8"/>
    </row>
    <row r="359" ht="12.75">
      <c r="E359" s="8"/>
      <c r="F359" s="8"/>
      <c r="G359" s="8"/>
      <c r="H359" s="48"/>
      <c r="I359" s="49"/>
      <c r="M359" s="45"/>
      <c r="N359" s="45"/>
      <c r="O359" s="45"/>
      <c r="P359" s="8"/>
      <c r="Q359" s="8"/>
    </row>
    <row r="360" ht="12.75">
      <c r="E360" s="8"/>
      <c r="F360" s="8"/>
      <c r="G360" s="8"/>
      <c r="H360" s="48"/>
      <c r="I360" s="49"/>
      <c r="M360" s="45"/>
      <c r="N360" s="45"/>
      <c r="O360" s="45"/>
      <c r="P360" s="8"/>
      <c r="Q360" s="8"/>
    </row>
    <row r="361" ht="12.75">
      <c r="E361" s="8"/>
      <c r="F361" s="8"/>
      <c r="G361" s="8"/>
      <c r="H361" s="48"/>
      <c r="I361" s="49"/>
      <c r="M361" s="45"/>
      <c r="N361" s="45"/>
      <c r="O361" s="45"/>
      <c r="P361" s="8"/>
      <c r="Q361" s="8"/>
    </row>
    <row r="362" ht="12.75">
      <c r="E362" s="8"/>
      <c r="F362" s="8"/>
      <c r="G362" s="8"/>
      <c r="H362" s="48"/>
      <c r="I362" s="49"/>
      <c r="M362" s="45"/>
      <c r="N362" s="45"/>
      <c r="O362" s="45"/>
      <c r="P362" s="8"/>
      <c r="Q362" s="8"/>
    </row>
    <row r="363" ht="12.75">
      <c r="E363" s="8"/>
      <c r="F363" s="8"/>
      <c r="G363" s="8"/>
      <c r="H363" s="48"/>
      <c r="I363" s="49"/>
      <c r="M363" s="45"/>
      <c r="N363" s="45"/>
      <c r="O363" s="45"/>
      <c r="P363" s="8"/>
      <c r="Q363" s="8"/>
    </row>
    <row r="364" ht="12.75">
      <c r="E364" s="8"/>
      <c r="F364" s="8"/>
      <c r="G364" s="8"/>
      <c r="H364" s="48"/>
      <c r="I364" s="49"/>
      <c r="M364" s="45"/>
      <c r="N364" s="45"/>
      <c r="O364" s="45"/>
      <c r="P364" s="8"/>
      <c r="Q364" s="8"/>
    </row>
    <row r="365" ht="12.75">
      <c r="E365" s="8"/>
      <c r="F365" s="8"/>
      <c r="G365" s="8"/>
      <c r="H365" s="48"/>
      <c r="I365" s="49"/>
      <c r="M365" s="45"/>
      <c r="N365" s="45"/>
      <c r="O365" s="45"/>
      <c r="P365" s="8"/>
      <c r="Q365" s="8"/>
    </row>
    <row r="366" ht="12.75">
      <c r="E366" s="8"/>
      <c r="F366" s="8"/>
      <c r="G366" s="8"/>
      <c r="H366" s="48"/>
      <c r="I366" s="49"/>
      <c r="M366" s="45"/>
      <c r="N366" s="45"/>
      <c r="O366" s="45"/>
      <c r="P366" s="8"/>
      <c r="Q366" s="8"/>
    </row>
    <row r="367" ht="12.75">
      <c r="E367" s="8"/>
      <c r="F367" s="8"/>
      <c r="G367" s="8"/>
      <c r="H367" s="48"/>
      <c r="I367" s="49"/>
      <c r="M367" s="45"/>
      <c r="N367" s="45"/>
      <c r="O367" s="45"/>
      <c r="P367" s="8"/>
      <c r="Q367" s="8"/>
    </row>
    <row r="368" ht="12.75">
      <c r="E368" s="8"/>
      <c r="F368" s="8"/>
      <c r="G368" s="8"/>
      <c r="H368" s="48"/>
      <c r="I368" s="49"/>
      <c r="M368" s="45"/>
      <c r="N368" s="45"/>
      <c r="O368" s="45"/>
      <c r="P368" s="8"/>
      <c r="Q368" s="8"/>
    </row>
    <row r="369" ht="12.75">
      <c r="E369" s="8"/>
      <c r="F369" s="8"/>
      <c r="G369" s="8"/>
      <c r="H369" s="48"/>
      <c r="I369" s="49"/>
      <c r="M369" s="45"/>
      <c r="N369" s="45"/>
      <c r="O369" s="45"/>
      <c r="P369" s="8"/>
      <c r="Q369" s="8"/>
    </row>
    <row r="370" ht="12.75">
      <c r="E370" s="8"/>
      <c r="F370" s="8"/>
      <c r="G370" s="8"/>
      <c r="H370" s="48"/>
      <c r="I370" s="49"/>
      <c r="M370" s="45"/>
      <c r="N370" s="45"/>
      <c r="O370" s="45"/>
      <c r="P370" s="8"/>
      <c r="Q370" s="8"/>
    </row>
    <row r="371" ht="12.75">
      <c r="E371" s="8"/>
      <c r="F371" s="8"/>
      <c r="G371" s="8"/>
      <c r="H371" s="48"/>
      <c r="I371" s="49"/>
      <c r="M371" s="45"/>
      <c r="N371" s="45"/>
      <c r="O371" s="45"/>
      <c r="P371" s="8"/>
      <c r="Q371" s="8"/>
    </row>
    <row r="372" ht="12.75">
      <c r="E372" s="8"/>
      <c r="F372" s="8"/>
      <c r="G372" s="8"/>
      <c r="H372" s="48"/>
      <c r="I372" s="49"/>
      <c r="M372" s="45"/>
      <c r="N372" s="45"/>
      <c r="O372" s="45"/>
      <c r="P372" s="8"/>
      <c r="Q372" s="8"/>
    </row>
    <row r="373" ht="12.75">
      <c r="E373" s="8"/>
      <c r="F373" s="8"/>
      <c r="G373" s="8"/>
      <c r="H373" s="48"/>
      <c r="I373" s="49"/>
      <c r="M373" s="45"/>
      <c r="N373" s="45"/>
      <c r="O373" s="45"/>
      <c r="P373" s="8"/>
      <c r="Q373" s="8"/>
    </row>
    <row r="374" ht="12.75">
      <c r="E374" s="8"/>
      <c r="F374" s="8"/>
      <c r="G374" s="8"/>
      <c r="H374" s="48"/>
      <c r="I374" s="49"/>
      <c r="M374" s="45"/>
      <c r="N374" s="45"/>
      <c r="O374" s="45"/>
      <c r="P374" s="8"/>
      <c r="Q374" s="8"/>
    </row>
    <row r="375" ht="12.75">
      <c r="E375" s="8"/>
      <c r="F375" s="8"/>
      <c r="G375" s="8"/>
      <c r="H375" s="48"/>
      <c r="I375" s="49"/>
      <c r="M375" s="45"/>
      <c r="N375" s="45"/>
      <c r="O375" s="45"/>
      <c r="P375" s="8"/>
      <c r="Q375" s="8"/>
    </row>
    <row r="376" ht="12.75">
      <c r="E376" s="8"/>
      <c r="F376" s="8"/>
      <c r="G376" s="8"/>
      <c r="H376" s="48"/>
      <c r="I376" s="49"/>
      <c r="M376" s="45"/>
      <c r="N376" s="45"/>
      <c r="O376" s="45"/>
      <c r="P376" s="8"/>
      <c r="Q376" s="8"/>
    </row>
    <row r="377" ht="12.75">
      <c r="E377" s="8"/>
      <c r="F377" s="8"/>
      <c r="G377" s="8"/>
      <c r="H377" s="48"/>
      <c r="I377" s="49"/>
      <c r="M377" s="45"/>
      <c r="N377" s="45"/>
      <c r="O377" s="45"/>
      <c r="P377" s="8"/>
      <c r="Q377" s="8"/>
    </row>
    <row r="378" ht="12.75">
      <c r="E378" s="8"/>
      <c r="F378" s="8"/>
      <c r="G378" s="8"/>
      <c r="H378" s="48"/>
      <c r="I378" s="49"/>
      <c r="M378" s="45"/>
      <c r="N378" s="45"/>
      <c r="O378" s="45"/>
      <c r="P378" s="8"/>
      <c r="Q378" s="8"/>
    </row>
    <row r="379" ht="12.75">
      <c r="E379" s="8"/>
      <c r="F379" s="8"/>
      <c r="G379" s="8"/>
      <c r="H379" s="48"/>
      <c r="I379" s="49"/>
      <c r="M379" s="45"/>
      <c r="N379" s="45"/>
      <c r="O379" s="45"/>
      <c r="P379" s="8"/>
      <c r="Q379" s="8"/>
    </row>
    <row r="380" ht="12.75">
      <c r="E380" s="8"/>
      <c r="F380" s="8"/>
      <c r="G380" s="8"/>
      <c r="H380" s="48"/>
      <c r="I380" s="49"/>
      <c r="M380" s="45"/>
      <c r="N380" s="45"/>
      <c r="O380" s="45"/>
      <c r="P380" s="8"/>
      <c r="Q380" s="8"/>
    </row>
    <row r="381" ht="12.75">
      <c r="E381" s="8"/>
      <c r="F381" s="8"/>
      <c r="G381" s="8"/>
      <c r="H381" s="48"/>
      <c r="I381" s="49"/>
      <c r="M381" s="45"/>
      <c r="N381" s="45"/>
      <c r="O381" s="45"/>
      <c r="P381" s="8"/>
      <c r="Q381" s="8"/>
    </row>
    <row r="382" ht="12.75">
      <c r="E382" s="8"/>
      <c r="F382" s="8"/>
      <c r="G382" s="8"/>
      <c r="H382" s="48"/>
      <c r="I382" s="49"/>
      <c r="M382" s="45"/>
      <c r="N382" s="45"/>
      <c r="O382" s="45"/>
      <c r="P382" s="8"/>
      <c r="Q382" s="8"/>
    </row>
    <row r="383" ht="12.75">
      <c r="E383" s="8"/>
      <c r="F383" s="8"/>
      <c r="G383" s="8"/>
      <c r="H383" s="48"/>
      <c r="I383" s="49"/>
      <c r="M383" s="45"/>
      <c r="N383" s="45"/>
      <c r="O383" s="45"/>
      <c r="P383" s="8"/>
      <c r="Q383" s="8"/>
    </row>
    <row r="384" ht="12.75">
      <c r="E384" s="8"/>
      <c r="F384" s="8"/>
      <c r="G384" s="8"/>
      <c r="H384" s="48"/>
      <c r="I384" s="49"/>
      <c r="M384" s="45"/>
      <c r="N384" s="45"/>
      <c r="O384" s="45"/>
      <c r="P384" s="8"/>
      <c r="Q384" s="8"/>
    </row>
    <row r="385" ht="12.75">
      <c r="E385" s="8"/>
      <c r="F385" s="8"/>
      <c r="G385" s="8"/>
      <c r="H385" s="48"/>
      <c r="I385" s="49"/>
      <c r="M385" s="45"/>
      <c r="N385" s="45"/>
      <c r="O385" s="45"/>
      <c r="P385" s="8"/>
      <c r="Q385" s="8"/>
    </row>
    <row r="386" ht="12.75">
      <c r="E386" s="8"/>
      <c r="F386" s="8"/>
      <c r="G386" s="8"/>
      <c r="H386" s="48"/>
      <c r="I386" s="49"/>
      <c r="M386" s="45"/>
      <c r="N386" s="45"/>
      <c r="O386" s="45"/>
      <c r="P386" s="8"/>
      <c r="Q386" s="8"/>
    </row>
    <row r="387" ht="12.75">
      <c r="E387" s="8"/>
      <c r="F387" s="8"/>
      <c r="G387" s="8"/>
      <c r="H387" s="48"/>
      <c r="I387" s="49"/>
      <c r="M387" s="45"/>
      <c r="N387" s="45"/>
      <c r="O387" s="45"/>
      <c r="P387" s="8"/>
      <c r="Q387" s="8"/>
    </row>
    <row r="388" ht="12.75">
      <c r="E388" s="8"/>
      <c r="F388" s="8"/>
      <c r="G388" s="8"/>
      <c r="H388" s="48"/>
      <c r="I388" s="49"/>
      <c r="M388" s="45"/>
      <c r="N388" s="45"/>
      <c r="O388" s="45"/>
      <c r="P388" s="8"/>
      <c r="Q388" s="8"/>
    </row>
    <row r="389" ht="12.75">
      <c r="E389" s="8"/>
      <c r="F389" s="8"/>
      <c r="G389" s="8"/>
      <c r="H389" s="48"/>
      <c r="I389" s="49"/>
      <c r="M389" s="45"/>
      <c r="N389" s="45"/>
      <c r="O389" s="45"/>
      <c r="P389" s="8"/>
      <c r="Q389" s="8"/>
    </row>
    <row r="390" ht="12.75">
      <c r="E390" s="8"/>
      <c r="F390" s="8"/>
      <c r="G390" s="8"/>
      <c r="H390" s="48"/>
      <c r="I390" s="49"/>
      <c r="M390" s="45"/>
      <c r="N390" s="45"/>
      <c r="O390" s="45"/>
      <c r="P390" s="8"/>
      <c r="Q390" s="8"/>
    </row>
    <row r="391" ht="12.75">
      <c r="E391" s="8"/>
      <c r="F391" s="8"/>
      <c r="G391" s="8"/>
      <c r="H391" s="48"/>
      <c r="I391" s="49"/>
      <c r="M391" s="45"/>
      <c r="N391" s="45"/>
      <c r="O391" s="45"/>
      <c r="P391" s="8"/>
      <c r="Q391" s="8"/>
    </row>
    <row r="392" ht="12.75">
      <c r="E392" s="8"/>
      <c r="F392" s="8"/>
      <c r="G392" s="8"/>
      <c r="H392" s="48"/>
      <c r="I392" s="49"/>
      <c r="M392" s="45"/>
      <c r="N392" s="45"/>
      <c r="O392" s="45"/>
      <c r="P392" s="8"/>
      <c r="Q392" s="8"/>
    </row>
    <row r="393" ht="12.75">
      <c r="E393" s="8"/>
      <c r="F393" s="8"/>
      <c r="G393" s="8"/>
      <c r="H393" s="48"/>
      <c r="I393" s="49"/>
      <c r="M393" s="45"/>
      <c r="N393" s="45"/>
      <c r="O393" s="45"/>
      <c r="P393" s="8"/>
      <c r="Q393" s="8"/>
    </row>
    <row r="394" ht="12.75">
      <c r="E394" s="8"/>
      <c r="F394" s="8"/>
      <c r="G394" s="8"/>
      <c r="H394" s="48"/>
      <c r="I394" s="49"/>
      <c r="M394" s="45"/>
      <c r="N394" s="45"/>
      <c r="O394" s="45"/>
      <c r="P394" s="8"/>
      <c r="Q394" s="8"/>
    </row>
    <row r="395" ht="12.75">
      <c r="E395" s="8"/>
      <c r="F395" s="8"/>
      <c r="G395" s="8"/>
      <c r="H395" s="48"/>
      <c r="I395" s="49"/>
      <c r="M395" s="45"/>
      <c r="N395" s="45"/>
      <c r="O395" s="45"/>
      <c r="P395" s="8"/>
      <c r="Q395" s="8"/>
    </row>
    <row r="396" ht="12.75">
      <c r="E396" s="8"/>
      <c r="F396" s="8"/>
      <c r="G396" s="8"/>
      <c r="H396" s="48"/>
      <c r="I396" s="49"/>
      <c r="M396" s="45"/>
      <c r="N396" s="45"/>
      <c r="O396" s="45"/>
      <c r="P396" s="8"/>
      <c r="Q396" s="8"/>
    </row>
    <row r="397" ht="12.75">
      <c r="E397" s="8"/>
      <c r="F397" s="8"/>
      <c r="G397" s="8"/>
      <c r="H397" s="48"/>
      <c r="I397" s="49"/>
      <c r="M397" s="45"/>
      <c r="N397" s="45"/>
      <c r="O397" s="45"/>
      <c r="P397" s="8"/>
      <c r="Q397" s="8"/>
    </row>
    <row r="398" ht="12.75">
      <c r="E398" s="8"/>
      <c r="F398" s="8"/>
      <c r="G398" s="8"/>
      <c r="H398" s="48"/>
      <c r="I398" s="49"/>
      <c r="M398" s="45"/>
      <c r="N398" s="45"/>
      <c r="O398" s="45"/>
      <c r="P398" s="8"/>
      <c r="Q398" s="8"/>
    </row>
    <row r="399" ht="12.75">
      <c r="E399" s="8"/>
      <c r="F399" s="8"/>
      <c r="G399" s="8"/>
      <c r="H399" s="48"/>
      <c r="I399" s="49"/>
      <c r="M399" s="45"/>
      <c r="N399" s="45"/>
      <c r="O399" s="45"/>
      <c r="P399" s="8"/>
      <c r="Q399" s="8"/>
    </row>
    <row r="400" ht="12.75">
      <c r="E400" s="8"/>
      <c r="F400" s="8"/>
      <c r="G400" s="8"/>
      <c r="H400" s="48"/>
      <c r="I400" s="49"/>
      <c r="M400" s="45"/>
      <c r="N400" s="45"/>
      <c r="O400" s="45"/>
      <c r="P400" s="8"/>
      <c r="Q400" s="8"/>
    </row>
    <row r="401" ht="12.75">
      <c r="E401" s="8"/>
      <c r="F401" s="8"/>
      <c r="G401" s="8"/>
      <c r="H401" s="48"/>
      <c r="I401" s="49"/>
      <c r="M401" s="45"/>
      <c r="N401" s="45"/>
      <c r="O401" s="45"/>
      <c r="P401" s="8"/>
      <c r="Q401" s="8"/>
    </row>
    <row r="402" ht="12.75">
      <c r="E402" s="8"/>
      <c r="F402" s="8"/>
      <c r="G402" s="8"/>
      <c r="H402" s="48"/>
      <c r="I402" s="49"/>
      <c r="M402" s="45"/>
      <c r="N402" s="45"/>
      <c r="O402" s="45"/>
      <c r="P402" s="8"/>
      <c r="Q402" s="8"/>
    </row>
    <row r="403" ht="12.75">
      <c r="E403" s="8"/>
      <c r="F403" s="8"/>
      <c r="G403" s="8"/>
      <c r="H403" s="48"/>
      <c r="I403" s="49"/>
      <c r="M403" s="45"/>
      <c r="N403" s="45"/>
      <c r="O403" s="45"/>
      <c r="P403" s="8"/>
      <c r="Q403" s="8"/>
    </row>
    <row r="404" ht="12.75">
      <c r="E404" s="8"/>
      <c r="F404" s="8"/>
      <c r="G404" s="8"/>
      <c r="H404" s="48"/>
      <c r="I404" s="49"/>
      <c r="M404" s="45"/>
      <c r="N404" s="45"/>
      <c r="O404" s="45"/>
      <c r="P404" s="8"/>
      <c r="Q404" s="8"/>
    </row>
    <row r="405" ht="12.75">
      <c r="E405" s="8"/>
      <c r="F405" s="8"/>
      <c r="G405" s="8"/>
      <c r="H405" s="48"/>
      <c r="I405" s="49"/>
      <c r="M405" s="45"/>
      <c r="N405" s="45"/>
      <c r="O405" s="45"/>
      <c r="P405" s="8"/>
      <c r="Q405" s="8"/>
    </row>
    <row r="406" ht="12.75">
      <c r="E406" s="8"/>
      <c r="F406" s="8"/>
      <c r="G406" s="8"/>
      <c r="H406" s="48"/>
      <c r="I406" s="49"/>
      <c r="M406" s="45"/>
      <c r="N406" s="45"/>
      <c r="O406" s="45"/>
      <c r="P406" s="8"/>
      <c r="Q406" s="8"/>
    </row>
    <row r="407" ht="12.75">
      <c r="E407" s="8"/>
      <c r="F407" s="8"/>
      <c r="G407" s="8"/>
      <c r="H407" s="48"/>
      <c r="I407" s="49"/>
      <c r="M407" s="45"/>
      <c r="N407" s="45"/>
      <c r="O407" s="45"/>
      <c r="P407" s="8"/>
      <c r="Q407" s="8"/>
    </row>
    <row r="408" ht="12.75">
      <c r="E408" s="8"/>
      <c r="F408" s="8"/>
      <c r="G408" s="8"/>
      <c r="H408" s="48"/>
      <c r="I408" s="49"/>
      <c r="M408" s="45"/>
      <c r="N408" s="45"/>
      <c r="O408" s="45"/>
      <c r="P408" s="8"/>
      <c r="Q408" s="8"/>
    </row>
    <row r="409" ht="12.75">
      <c r="E409" s="8"/>
      <c r="F409" s="8"/>
      <c r="G409" s="8"/>
      <c r="H409" s="48"/>
      <c r="I409" s="49"/>
      <c r="M409" s="45"/>
      <c r="N409" s="45"/>
      <c r="O409" s="45"/>
      <c r="P409" s="8"/>
      <c r="Q409" s="8"/>
    </row>
    <row r="410" ht="12.75">
      <c r="E410" s="8"/>
      <c r="F410" s="8"/>
      <c r="G410" s="8"/>
      <c r="H410" s="48"/>
      <c r="I410" s="49"/>
      <c r="M410" s="45"/>
      <c r="N410" s="45"/>
      <c r="O410" s="45"/>
      <c r="P410" s="8"/>
      <c r="Q410" s="8"/>
    </row>
    <row r="411" ht="12.75">
      <c r="E411" s="8"/>
      <c r="F411" s="8"/>
      <c r="G411" s="8"/>
      <c r="H411" s="48"/>
      <c r="I411" s="49"/>
      <c r="M411" s="45"/>
      <c r="N411" s="45"/>
      <c r="O411" s="45"/>
      <c r="P411" s="8"/>
      <c r="Q411" s="8"/>
    </row>
    <row r="412" ht="12.75">
      <c r="E412" s="8"/>
      <c r="F412" s="8"/>
      <c r="G412" s="8"/>
      <c r="H412" s="48"/>
      <c r="I412" s="49"/>
      <c r="M412" s="45"/>
      <c r="N412" s="45"/>
      <c r="O412" s="45"/>
      <c r="P412" s="8"/>
      <c r="Q412" s="8"/>
    </row>
    <row r="413" ht="12.75">
      <c r="E413" s="8"/>
      <c r="F413" s="8"/>
      <c r="G413" s="8"/>
      <c r="H413" s="48"/>
      <c r="I413" s="49"/>
      <c r="M413" s="45"/>
      <c r="N413" s="45"/>
      <c r="O413" s="45"/>
      <c r="P413" s="8"/>
      <c r="Q413" s="8"/>
    </row>
    <row r="414" ht="12.75">
      <c r="E414" s="8"/>
      <c r="F414" s="8"/>
      <c r="G414" s="8"/>
      <c r="H414" s="48"/>
      <c r="I414" s="49"/>
      <c r="M414" s="45"/>
      <c r="N414" s="45"/>
      <c r="O414" s="45"/>
      <c r="P414" s="8"/>
      <c r="Q414" s="8"/>
    </row>
    <row r="415" ht="12.75">
      <c r="E415" s="8"/>
      <c r="F415" s="8"/>
      <c r="G415" s="8"/>
      <c r="H415" s="48"/>
      <c r="I415" s="49"/>
      <c r="M415" s="45"/>
      <c r="N415" s="45"/>
      <c r="O415" s="45"/>
      <c r="P415" s="8"/>
      <c r="Q415" s="8"/>
    </row>
    <row r="416" ht="12.75">
      <c r="E416" s="8"/>
      <c r="F416" s="8"/>
      <c r="G416" s="8"/>
      <c r="H416" s="48"/>
      <c r="I416" s="49"/>
      <c r="M416" s="45"/>
      <c r="N416" s="45"/>
      <c r="O416" s="45"/>
      <c r="P416" s="8"/>
      <c r="Q416" s="8"/>
    </row>
    <row r="417" ht="12.75">
      <c r="E417" s="8"/>
      <c r="F417" s="8"/>
      <c r="G417" s="8"/>
      <c r="H417" s="48"/>
      <c r="I417" s="49"/>
      <c r="M417" s="45"/>
      <c r="N417" s="45"/>
      <c r="O417" s="45"/>
      <c r="P417" s="8"/>
      <c r="Q417" s="8"/>
    </row>
    <row r="418" ht="12.75">
      <c r="E418" s="8"/>
      <c r="F418" s="8"/>
      <c r="G418" s="8"/>
      <c r="H418" s="48"/>
      <c r="I418" s="49"/>
      <c r="M418" s="45"/>
      <c r="N418" s="45"/>
      <c r="O418" s="45"/>
      <c r="P418" s="8"/>
      <c r="Q418" s="8"/>
    </row>
    <row r="419" ht="12.75">
      <c r="E419" s="8"/>
      <c r="F419" s="8"/>
      <c r="G419" s="8"/>
      <c r="H419" s="48"/>
      <c r="I419" s="49"/>
      <c r="M419" s="45"/>
      <c r="N419" s="45"/>
      <c r="O419" s="45"/>
      <c r="P419" s="8"/>
      <c r="Q419" s="8"/>
    </row>
    <row r="420" ht="12.75">
      <c r="E420" s="8"/>
      <c r="F420" s="8"/>
      <c r="G420" s="8"/>
      <c r="H420" s="48"/>
      <c r="I420" s="49"/>
      <c r="M420" s="45"/>
      <c r="N420" s="45"/>
      <c r="O420" s="45"/>
      <c r="P420" s="8"/>
      <c r="Q420" s="8"/>
    </row>
    <row r="421" ht="12.75">
      <c r="E421" s="8"/>
      <c r="F421" s="8"/>
      <c r="G421" s="8"/>
      <c r="H421" s="48"/>
      <c r="I421" s="49"/>
      <c r="M421" s="45"/>
      <c r="N421" s="45"/>
      <c r="O421" s="45"/>
      <c r="P421" s="8"/>
      <c r="Q421" s="8"/>
    </row>
    <row r="422" ht="12.75">
      <c r="E422" s="8"/>
      <c r="F422" s="8"/>
      <c r="G422" s="8"/>
      <c r="H422" s="48"/>
      <c r="I422" s="49"/>
      <c r="M422" s="45"/>
      <c r="N422" s="45"/>
      <c r="O422" s="45"/>
      <c r="P422" s="8"/>
      <c r="Q422" s="8"/>
    </row>
    <row r="423" ht="12.75">
      <c r="E423" s="8"/>
      <c r="F423" s="8"/>
      <c r="G423" s="8"/>
      <c r="H423" s="48"/>
      <c r="I423" s="49"/>
      <c r="M423" s="45"/>
      <c r="N423" s="45"/>
      <c r="O423" s="45"/>
      <c r="P423" s="8"/>
      <c r="Q423" s="8"/>
    </row>
    <row r="424" ht="12.75">
      <c r="E424" s="8"/>
      <c r="F424" s="8"/>
      <c r="G424" s="8"/>
      <c r="H424" s="48"/>
      <c r="I424" s="49"/>
      <c r="M424" s="45"/>
      <c r="N424" s="45"/>
      <c r="O424" s="45"/>
      <c r="P424" s="8"/>
      <c r="Q424" s="8"/>
    </row>
    <row r="425" ht="12.75">
      <c r="E425" s="8"/>
      <c r="F425" s="8"/>
      <c r="G425" s="8"/>
      <c r="H425" s="48"/>
      <c r="I425" s="49"/>
      <c r="M425" s="45"/>
      <c r="N425" s="45"/>
      <c r="O425" s="45"/>
      <c r="P425" s="8"/>
      <c r="Q425" s="8"/>
    </row>
    <row r="426" ht="12.75">
      <c r="E426" s="8"/>
      <c r="F426" s="8"/>
      <c r="G426" s="8"/>
      <c r="H426" s="48"/>
      <c r="I426" s="49"/>
      <c r="M426" s="45"/>
      <c r="N426" s="45"/>
      <c r="O426" s="45"/>
      <c r="P426" s="8"/>
      <c r="Q426" s="8"/>
    </row>
    <row r="427" ht="12.75">
      <c r="E427" s="8"/>
      <c r="F427" s="8"/>
      <c r="G427" s="8"/>
      <c r="H427" s="48"/>
      <c r="I427" s="49"/>
      <c r="M427" s="45"/>
      <c r="N427" s="45"/>
      <c r="O427" s="45"/>
      <c r="P427" s="8"/>
      <c r="Q427" s="8"/>
    </row>
    <row r="428" ht="12.75">
      <c r="E428" s="8"/>
      <c r="F428" s="8"/>
      <c r="G428" s="8"/>
      <c r="H428" s="48"/>
      <c r="I428" s="49"/>
      <c r="M428" s="45"/>
      <c r="N428" s="45"/>
      <c r="O428" s="45"/>
      <c r="P428" s="8"/>
      <c r="Q428" s="8"/>
    </row>
    <row r="429" ht="12.75">
      <c r="E429" s="8"/>
      <c r="F429" s="8"/>
      <c r="G429" s="8"/>
      <c r="H429" s="48"/>
      <c r="I429" s="49"/>
      <c r="M429" s="45"/>
      <c r="N429" s="45"/>
      <c r="O429" s="45"/>
      <c r="P429" s="8"/>
      <c r="Q429" s="8"/>
    </row>
    <row r="430" ht="12.75">
      <c r="E430" s="8"/>
      <c r="F430" s="8"/>
      <c r="G430" s="8"/>
      <c r="H430" s="48"/>
      <c r="I430" s="49"/>
      <c r="M430" s="45"/>
      <c r="N430" s="45"/>
      <c r="O430" s="45"/>
      <c r="P430" s="8"/>
      <c r="Q430" s="8"/>
    </row>
    <row r="431" ht="12.75">
      <c r="E431" s="8"/>
      <c r="F431" s="8"/>
      <c r="G431" s="8"/>
      <c r="H431" s="48"/>
      <c r="I431" s="49"/>
      <c r="M431" s="45"/>
      <c r="N431" s="45"/>
      <c r="O431" s="45"/>
      <c r="P431" s="8"/>
      <c r="Q431" s="8"/>
    </row>
    <row r="432" ht="12.75">
      <c r="E432" s="8"/>
      <c r="F432" s="8"/>
      <c r="G432" s="8"/>
      <c r="H432" s="48"/>
      <c r="I432" s="49"/>
      <c r="M432" s="45"/>
      <c r="N432" s="45"/>
      <c r="O432" s="45"/>
      <c r="P432" s="8"/>
      <c r="Q432" s="8"/>
    </row>
    <row r="433" ht="12.75">
      <c r="E433" s="8"/>
      <c r="F433" s="8"/>
      <c r="G433" s="8"/>
      <c r="H433" s="48"/>
      <c r="I433" s="49"/>
      <c r="M433" s="45"/>
      <c r="N433" s="45"/>
      <c r="O433" s="45"/>
      <c r="P433" s="8"/>
      <c r="Q433" s="8"/>
    </row>
    <row r="434" ht="12.75">
      <c r="E434" s="8"/>
      <c r="F434" s="8"/>
      <c r="G434" s="8"/>
      <c r="H434" s="48"/>
      <c r="I434" s="49"/>
      <c r="M434" s="45"/>
      <c r="N434" s="45"/>
      <c r="O434" s="45"/>
      <c r="P434" s="8"/>
      <c r="Q434" s="8"/>
    </row>
    <row r="435" ht="12.75">
      <c r="E435" s="8"/>
      <c r="F435" s="8"/>
      <c r="G435" s="8"/>
      <c r="H435" s="48"/>
      <c r="I435" s="49"/>
      <c r="M435" s="45"/>
      <c r="N435" s="45"/>
      <c r="O435" s="45"/>
      <c r="P435" s="8"/>
      <c r="Q435" s="8"/>
    </row>
    <row r="436" ht="12.75">
      <c r="E436" s="8"/>
      <c r="F436" s="8"/>
      <c r="G436" s="8"/>
      <c r="H436" s="48"/>
      <c r="I436" s="49"/>
      <c r="M436" s="45"/>
      <c r="N436" s="45"/>
      <c r="O436" s="45"/>
      <c r="P436" s="8"/>
      <c r="Q436" s="8"/>
    </row>
    <row r="437" ht="12.75">
      <c r="E437" s="8"/>
      <c r="F437" s="8"/>
      <c r="G437" s="8"/>
      <c r="H437" s="48"/>
      <c r="I437" s="49"/>
      <c r="M437" s="45"/>
      <c r="N437" s="45"/>
      <c r="O437" s="45"/>
      <c r="P437" s="8"/>
      <c r="Q437" s="8"/>
    </row>
    <row r="438" ht="12.75">
      <c r="E438" s="8"/>
      <c r="F438" s="8"/>
      <c r="G438" s="8"/>
      <c r="H438" s="48"/>
      <c r="I438" s="49"/>
      <c r="M438" s="45"/>
      <c r="N438" s="45"/>
      <c r="O438" s="45"/>
      <c r="P438" s="8"/>
      <c r="Q438" s="8"/>
    </row>
    <row r="439" ht="12.75">
      <c r="E439" s="8"/>
      <c r="F439" s="8"/>
      <c r="G439" s="8"/>
      <c r="H439" s="48"/>
      <c r="I439" s="49"/>
      <c r="M439" s="45"/>
      <c r="N439" s="45"/>
      <c r="O439" s="45"/>
      <c r="P439" s="8"/>
      <c r="Q439" s="8"/>
    </row>
    <row r="440" ht="12.75">
      <c r="E440" s="8"/>
      <c r="F440" s="8"/>
      <c r="G440" s="8"/>
      <c r="H440" s="48"/>
      <c r="I440" s="49"/>
      <c r="M440" s="45"/>
      <c r="N440" s="45"/>
      <c r="O440" s="45"/>
      <c r="P440" s="8"/>
      <c r="Q440" s="8"/>
    </row>
    <row r="441" ht="12.75">
      <c r="E441" s="8"/>
      <c r="F441" s="8"/>
      <c r="G441" s="8"/>
      <c r="H441" s="48"/>
      <c r="I441" s="49"/>
      <c r="M441" s="45"/>
      <c r="N441" s="45"/>
      <c r="O441" s="45"/>
      <c r="P441" s="8"/>
      <c r="Q441" s="8"/>
    </row>
    <row r="442" ht="12.75">
      <c r="E442" s="8"/>
      <c r="F442" s="8"/>
      <c r="G442" s="8"/>
      <c r="H442" s="48"/>
      <c r="I442" s="49"/>
      <c r="M442" s="45"/>
      <c r="N442" s="45"/>
      <c r="O442" s="45"/>
      <c r="P442" s="8"/>
      <c r="Q442" s="8"/>
    </row>
    <row r="443" ht="12.75">
      <c r="E443" s="8"/>
      <c r="F443" s="8"/>
      <c r="G443" s="8"/>
      <c r="H443" s="48"/>
      <c r="I443" s="49"/>
      <c r="M443" s="45"/>
      <c r="N443" s="45"/>
      <c r="O443" s="45"/>
      <c r="P443" s="8"/>
      <c r="Q443" s="8"/>
    </row>
    <row r="444" ht="12.75">
      <c r="E444" s="8"/>
      <c r="F444" s="8"/>
      <c r="G444" s="8"/>
      <c r="H444" s="48"/>
      <c r="I444" s="49"/>
      <c r="M444" s="45"/>
      <c r="N444" s="45"/>
      <c r="O444" s="45"/>
      <c r="P444" s="8"/>
      <c r="Q444" s="8"/>
    </row>
    <row r="445" ht="12.75">
      <c r="E445" s="8"/>
      <c r="F445" s="8"/>
      <c r="G445" s="8"/>
      <c r="H445" s="48"/>
      <c r="I445" s="49"/>
      <c r="M445" s="45"/>
      <c r="N445" s="45"/>
      <c r="O445" s="45"/>
      <c r="P445" s="8"/>
      <c r="Q445" s="8"/>
    </row>
    <row r="446" ht="12.75">
      <c r="E446" s="8"/>
      <c r="F446" s="8"/>
      <c r="G446" s="8"/>
      <c r="H446" s="48"/>
      <c r="I446" s="49"/>
      <c r="M446" s="45"/>
      <c r="N446" s="45"/>
      <c r="O446" s="45"/>
      <c r="P446" s="8"/>
      <c r="Q446" s="8"/>
    </row>
    <row r="447" ht="12.75">
      <c r="E447" s="8"/>
      <c r="F447" s="8"/>
      <c r="G447" s="8"/>
      <c r="H447" s="48"/>
      <c r="I447" s="49"/>
      <c r="M447" s="45"/>
      <c r="N447" s="45"/>
      <c r="O447" s="45"/>
      <c r="P447" s="8"/>
      <c r="Q447" s="8"/>
    </row>
    <row r="448" ht="12.75">
      <c r="E448" s="8"/>
      <c r="F448" s="8"/>
      <c r="G448" s="8"/>
      <c r="H448" s="48"/>
      <c r="I448" s="49"/>
      <c r="M448" s="45"/>
      <c r="N448" s="45"/>
      <c r="O448" s="45"/>
      <c r="P448" s="8"/>
      <c r="Q448" s="8"/>
    </row>
    <row r="449" ht="12.75">
      <c r="E449" s="8"/>
      <c r="F449" s="8"/>
      <c r="G449" s="8"/>
      <c r="H449" s="48"/>
      <c r="I449" s="49"/>
      <c r="M449" s="45"/>
      <c r="N449" s="45"/>
      <c r="O449" s="45"/>
      <c r="P449" s="8"/>
      <c r="Q449" s="8"/>
    </row>
    <row r="450" ht="12.75">
      <c r="E450" s="8"/>
      <c r="F450" s="8"/>
      <c r="G450" s="8"/>
      <c r="H450" s="48"/>
      <c r="I450" s="49"/>
      <c r="M450" s="45"/>
      <c r="N450" s="45"/>
      <c r="O450" s="45"/>
      <c r="P450" s="8"/>
      <c r="Q450" s="8"/>
    </row>
    <row r="451" ht="12.75">
      <c r="E451" s="8"/>
      <c r="F451" s="8"/>
      <c r="G451" s="8"/>
      <c r="H451" s="48"/>
      <c r="I451" s="49"/>
      <c r="M451" s="45"/>
      <c r="N451" s="45"/>
      <c r="O451" s="45"/>
      <c r="P451" s="8"/>
      <c r="Q451" s="8"/>
    </row>
    <row r="452" ht="12.75">
      <c r="E452" s="8"/>
      <c r="F452" s="8"/>
      <c r="G452" s="8"/>
      <c r="H452" s="48"/>
      <c r="I452" s="49"/>
      <c r="M452" s="45"/>
      <c r="N452" s="45"/>
      <c r="O452" s="45"/>
      <c r="P452" s="8"/>
      <c r="Q452" s="8"/>
    </row>
    <row r="453" ht="12.75">
      <c r="E453" s="8"/>
      <c r="F453" s="8"/>
      <c r="G453" s="8"/>
      <c r="H453" s="48"/>
      <c r="I453" s="49"/>
      <c r="M453" s="45"/>
      <c r="N453" s="45"/>
      <c r="O453" s="45"/>
      <c r="P453" s="8"/>
      <c r="Q453" s="8"/>
    </row>
    <row r="454" ht="12.75">
      <c r="E454" s="8"/>
      <c r="F454" s="8"/>
      <c r="G454" s="8"/>
      <c r="H454" s="48"/>
      <c r="I454" s="49"/>
      <c r="M454" s="45"/>
      <c r="N454" s="45"/>
      <c r="O454" s="45"/>
      <c r="P454" s="8"/>
      <c r="Q454" s="8"/>
    </row>
    <row r="455" ht="12.75">
      <c r="E455" s="8"/>
      <c r="F455" s="8"/>
      <c r="G455" s="8"/>
      <c r="H455" s="48"/>
      <c r="I455" s="49"/>
      <c r="M455" s="45"/>
      <c r="N455" s="45"/>
      <c r="O455" s="45"/>
      <c r="P455" s="8"/>
      <c r="Q455" s="8"/>
    </row>
    <row r="456" ht="12.75">
      <c r="E456" s="8"/>
      <c r="F456" s="8"/>
      <c r="G456" s="8"/>
      <c r="H456" s="48"/>
      <c r="I456" s="49"/>
      <c r="M456" s="45"/>
      <c r="N456" s="45"/>
      <c r="O456" s="45"/>
      <c r="P456" s="8"/>
      <c r="Q456" s="8"/>
    </row>
    <row r="457" ht="12.75">
      <c r="E457" s="8"/>
      <c r="F457" s="8"/>
      <c r="G457" s="8"/>
      <c r="H457" s="48"/>
      <c r="I457" s="49"/>
      <c r="M457" s="45"/>
      <c r="N457" s="45"/>
      <c r="O457" s="45"/>
      <c r="P457" s="8"/>
      <c r="Q457" s="8"/>
    </row>
    <row r="458" ht="12.75">
      <c r="E458" s="8"/>
      <c r="F458" s="8"/>
      <c r="G458" s="8"/>
      <c r="H458" s="48"/>
      <c r="I458" s="49"/>
      <c r="M458" s="45"/>
      <c r="N458" s="45"/>
      <c r="O458" s="45"/>
      <c r="P458" s="8"/>
      <c r="Q458" s="8"/>
    </row>
    <row r="459" ht="12.75">
      <c r="E459" s="8"/>
      <c r="F459" s="8"/>
      <c r="G459" s="8"/>
      <c r="H459" s="48"/>
      <c r="I459" s="49"/>
      <c r="M459" s="45"/>
      <c r="N459" s="45"/>
      <c r="O459" s="45"/>
      <c r="P459" s="8"/>
      <c r="Q459" s="8"/>
    </row>
    <row r="460" ht="12.75">
      <c r="E460" s="8"/>
      <c r="F460" s="8"/>
      <c r="G460" s="8"/>
      <c r="H460" s="48"/>
      <c r="I460" s="49"/>
      <c r="M460" s="45"/>
      <c r="N460" s="45"/>
      <c r="O460" s="45"/>
      <c r="P460" s="8"/>
      <c r="Q460" s="8"/>
    </row>
    <row r="461" ht="12.75">
      <c r="E461" s="8"/>
      <c r="F461" s="8"/>
      <c r="G461" s="8"/>
      <c r="H461" s="48"/>
      <c r="I461" s="49"/>
      <c r="M461" s="45"/>
      <c r="N461" s="45"/>
      <c r="O461" s="45"/>
      <c r="P461" s="8"/>
      <c r="Q461" s="8"/>
    </row>
    <row r="462" ht="12.75">
      <c r="E462" s="8"/>
      <c r="F462" s="8"/>
      <c r="G462" s="8"/>
      <c r="H462" s="48"/>
      <c r="I462" s="49"/>
      <c r="M462" s="45"/>
      <c r="N462" s="45"/>
      <c r="O462" s="45"/>
      <c r="P462" s="8"/>
      <c r="Q462" s="8"/>
    </row>
    <row r="463" ht="12.75">
      <c r="E463" s="8"/>
      <c r="F463" s="8"/>
      <c r="G463" s="8"/>
      <c r="H463" s="48"/>
      <c r="I463" s="49"/>
      <c r="M463" s="45"/>
      <c r="N463" s="45"/>
      <c r="O463" s="45"/>
      <c r="P463" s="8"/>
      <c r="Q463" s="8"/>
    </row>
    <row r="464" ht="12.75">
      <c r="E464" s="8"/>
      <c r="F464" s="8"/>
      <c r="G464" s="8"/>
      <c r="H464" s="48"/>
      <c r="I464" s="49"/>
      <c r="M464" s="45"/>
      <c r="N464" s="45"/>
      <c r="O464" s="45"/>
      <c r="P464" s="8"/>
      <c r="Q464" s="8"/>
    </row>
    <row r="465" ht="12.75">
      <c r="E465" s="8"/>
      <c r="F465" s="8"/>
      <c r="G465" s="8"/>
      <c r="H465" s="48"/>
      <c r="I465" s="49"/>
      <c r="M465" s="45"/>
      <c r="N465" s="45"/>
      <c r="O465" s="45"/>
      <c r="P465" s="8"/>
      <c r="Q465" s="8"/>
    </row>
    <row r="466" ht="12.75">
      <c r="E466" s="8"/>
      <c r="F466" s="8"/>
      <c r="G466" s="8"/>
      <c r="H466" s="48"/>
      <c r="I466" s="49"/>
      <c r="M466" s="45"/>
      <c r="N466" s="45"/>
      <c r="O466" s="45"/>
      <c r="P466" s="8"/>
      <c r="Q466" s="8"/>
    </row>
    <row r="467" ht="12.75">
      <c r="E467" s="8"/>
      <c r="F467" s="8"/>
      <c r="G467" s="8"/>
      <c r="H467" s="48"/>
      <c r="I467" s="49"/>
      <c r="M467" s="45"/>
      <c r="N467" s="45"/>
      <c r="O467" s="45"/>
      <c r="P467" s="8"/>
      <c r="Q467" s="8"/>
    </row>
    <row r="468" ht="12.75">
      <c r="E468" s="8"/>
      <c r="F468" s="8"/>
      <c r="G468" s="8"/>
      <c r="H468" s="48"/>
      <c r="I468" s="49"/>
      <c r="M468" s="45"/>
      <c r="N468" s="45"/>
      <c r="O468" s="45"/>
      <c r="P468" s="8"/>
      <c r="Q468" s="8"/>
    </row>
    <row r="469" ht="12.75">
      <c r="E469" s="8"/>
      <c r="F469" s="8"/>
      <c r="G469" s="8"/>
      <c r="H469" s="48"/>
      <c r="I469" s="49"/>
      <c r="M469" s="45"/>
      <c r="N469" s="45"/>
      <c r="O469" s="45"/>
      <c r="P469" s="8"/>
      <c r="Q469" s="8"/>
    </row>
    <row r="470" ht="12.75">
      <c r="E470" s="8"/>
      <c r="F470" s="8"/>
      <c r="G470" s="8"/>
      <c r="H470" s="48"/>
      <c r="I470" s="49"/>
      <c r="M470" s="45"/>
      <c r="N470" s="45"/>
      <c r="O470" s="45"/>
      <c r="P470" s="8"/>
      <c r="Q470" s="8"/>
    </row>
    <row r="471" ht="12.75">
      <c r="E471" s="8"/>
      <c r="F471" s="8"/>
      <c r="G471" s="8"/>
      <c r="H471" s="48"/>
      <c r="I471" s="49"/>
      <c r="M471" s="45"/>
      <c r="N471" s="45"/>
      <c r="O471" s="45"/>
      <c r="P471" s="8"/>
      <c r="Q471" s="8"/>
    </row>
    <row r="472" ht="12.75">
      <c r="E472" s="8"/>
      <c r="F472" s="8"/>
      <c r="G472" s="8"/>
      <c r="H472" s="48"/>
      <c r="I472" s="49"/>
      <c r="M472" s="45"/>
      <c r="N472" s="45"/>
      <c r="O472" s="45"/>
      <c r="P472" s="8"/>
      <c r="Q472" s="8"/>
    </row>
    <row r="473" ht="12.75">
      <c r="E473" s="8"/>
      <c r="F473" s="8"/>
      <c r="G473" s="8"/>
      <c r="H473" s="48"/>
      <c r="I473" s="49"/>
      <c r="M473" s="45"/>
      <c r="N473" s="45"/>
      <c r="O473" s="45"/>
      <c r="P473" s="8"/>
      <c r="Q473" s="8"/>
    </row>
    <row r="474" ht="12.75">
      <c r="E474" s="8"/>
      <c r="F474" s="8"/>
      <c r="G474" s="8"/>
      <c r="H474" s="48"/>
      <c r="I474" s="49"/>
      <c r="M474" s="45"/>
      <c r="N474" s="45"/>
      <c r="O474" s="45"/>
      <c r="P474" s="8"/>
      <c r="Q474" s="8"/>
    </row>
    <row r="475" ht="12.75">
      <c r="E475" s="8"/>
      <c r="F475" s="8"/>
      <c r="G475" s="8"/>
      <c r="H475" s="48"/>
      <c r="I475" s="49"/>
      <c r="M475" s="45"/>
      <c r="N475" s="45"/>
      <c r="O475" s="45"/>
      <c r="P475" s="8"/>
      <c r="Q475" s="8"/>
    </row>
    <row r="476" ht="12.75">
      <c r="E476" s="8"/>
      <c r="F476" s="8"/>
      <c r="G476" s="8"/>
      <c r="H476" s="48"/>
      <c r="I476" s="49"/>
      <c r="M476" s="45"/>
      <c r="N476" s="45"/>
      <c r="O476" s="45"/>
      <c r="P476" s="8"/>
      <c r="Q476" s="8"/>
    </row>
    <row r="477" ht="12.75">
      <c r="E477" s="8"/>
      <c r="F477" s="8"/>
      <c r="G477" s="8"/>
      <c r="H477" s="48"/>
      <c r="I477" s="49"/>
      <c r="M477" s="45"/>
      <c r="N477" s="45"/>
      <c r="O477" s="45"/>
      <c r="P477" s="8"/>
      <c r="Q477" s="8"/>
    </row>
    <row r="478" ht="12.75">
      <c r="E478" s="8"/>
      <c r="F478" s="8"/>
      <c r="G478" s="8"/>
      <c r="H478" s="48"/>
      <c r="I478" s="49"/>
      <c r="M478" s="45"/>
      <c r="N478" s="45"/>
      <c r="O478" s="45"/>
      <c r="P478" s="8"/>
      <c r="Q478" s="8"/>
    </row>
    <row r="479" ht="12.75">
      <c r="E479" s="8"/>
      <c r="F479" s="8"/>
      <c r="G479" s="8"/>
      <c r="H479" s="48"/>
      <c r="I479" s="49"/>
      <c r="M479" s="45"/>
      <c r="N479" s="45"/>
      <c r="O479" s="45"/>
      <c r="P479" s="8"/>
      <c r="Q479" s="8"/>
    </row>
    <row r="480" ht="12.75">
      <c r="E480" s="8"/>
      <c r="F480" s="8"/>
      <c r="G480" s="8"/>
      <c r="H480" s="48"/>
      <c r="I480" s="49"/>
      <c r="M480" s="45"/>
      <c r="N480" s="45"/>
      <c r="O480" s="45"/>
      <c r="P480" s="8"/>
      <c r="Q480" s="8"/>
    </row>
    <row r="481" ht="12.75">
      <c r="E481" s="8"/>
      <c r="F481" s="8"/>
      <c r="G481" s="8"/>
      <c r="H481" s="48"/>
      <c r="I481" s="49"/>
      <c r="M481" s="45"/>
      <c r="N481" s="45"/>
      <c r="O481" s="45"/>
      <c r="P481" s="8"/>
      <c r="Q481" s="8"/>
    </row>
    <row r="482" ht="12.75">
      <c r="E482" s="8"/>
      <c r="F482" s="8"/>
      <c r="G482" s="8"/>
      <c r="H482" s="48"/>
      <c r="I482" s="49"/>
      <c r="M482" s="45"/>
      <c r="N482" s="45"/>
      <c r="O482" s="45"/>
      <c r="P482" s="8"/>
      <c r="Q482" s="8"/>
    </row>
    <row r="483" ht="12.75">
      <c r="E483" s="8"/>
      <c r="F483" s="8"/>
      <c r="G483" s="8"/>
      <c r="H483" s="48"/>
      <c r="I483" s="49"/>
      <c r="M483" s="45"/>
      <c r="N483" s="45"/>
      <c r="O483" s="45"/>
      <c r="P483" s="8"/>
      <c r="Q483" s="8"/>
    </row>
    <row r="484" ht="12.75">
      <c r="E484" s="8"/>
      <c r="F484" s="8"/>
      <c r="G484" s="8"/>
      <c r="H484" s="48"/>
      <c r="I484" s="49"/>
      <c r="M484" s="45"/>
      <c r="N484" s="45"/>
      <c r="O484" s="45"/>
      <c r="P484" s="8"/>
      <c r="Q484" s="8"/>
    </row>
    <row r="485" ht="12.75">
      <c r="E485" s="8"/>
      <c r="F485" s="8"/>
      <c r="G485" s="8"/>
      <c r="H485" s="48"/>
      <c r="I485" s="49"/>
      <c r="M485" s="45"/>
      <c r="N485" s="45"/>
      <c r="O485" s="45"/>
      <c r="P485" s="8"/>
      <c r="Q485" s="8"/>
    </row>
    <row r="486" ht="12.75">
      <c r="E486" s="8"/>
      <c r="F486" s="8"/>
      <c r="G486" s="8"/>
      <c r="H486" s="48"/>
      <c r="I486" s="49"/>
      <c r="M486" s="45"/>
      <c r="N486" s="45"/>
      <c r="O486" s="45"/>
      <c r="P486" s="8"/>
      <c r="Q486" s="8"/>
    </row>
    <row r="487" ht="12.75">
      <c r="E487" s="8"/>
      <c r="F487" s="8"/>
      <c r="G487" s="8"/>
      <c r="H487" s="48"/>
      <c r="I487" s="49"/>
      <c r="M487" s="45"/>
      <c r="N487" s="45"/>
      <c r="O487" s="45"/>
      <c r="P487" s="8"/>
      <c r="Q487" s="8"/>
    </row>
    <row r="488" ht="12.75">
      <c r="E488" s="8"/>
      <c r="F488" s="8"/>
      <c r="G488" s="8"/>
      <c r="H488" s="48"/>
      <c r="I488" s="49"/>
      <c r="M488" s="45"/>
      <c r="N488" s="45"/>
      <c r="O488" s="45"/>
      <c r="P488" s="8"/>
      <c r="Q488" s="8"/>
    </row>
    <row r="489" ht="12.75">
      <c r="E489" s="8"/>
      <c r="F489" s="8"/>
      <c r="G489" s="8"/>
      <c r="H489" s="48"/>
      <c r="I489" s="49"/>
      <c r="M489" s="45"/>
      <c r="N489" s="45"/>
      <c r="O489" s="45"/>
      <c r="P489" s="8"/>
      <c r="Q489" s="8"/>
    </row>
    <row r="490" ht="12.75">
      <c r="E490" s="8"/>
      <c r="F490" s="8"/>
      <c r="G490" s="8"/>
      <c r="H490" s="48"/>
      <c r="I490" s="49"/>
      <c r="M490" s="45"/>
      <c r="N490" s="45"/>
      <c r="O490" s="45"/>
      <c r="P490" s="8"/>
      <c r="Q490" s="8"/>
    </row>
    <row r="491" ht="12.75">
      <c r="E491" s="8"/>
      <c r="F491" s="8"/>
      <c r="G491" s="8"/>
      <c r="H491" s="48"/>
      <c r="I491" s="49"/>
      <c r="M491" s="45"/>
      <c r="N491" s="45"/>
      <c r="O491" s="45"/>
      <c r="P491" s="8"/>
      <c r="Q491" s="8"/>
    </row>
    <row r="492" ht="12.75">
      <c r="E492" s="8"/>
      <c r="F492" s="8"/>
      <c r="G492" s="8"/>
      <c r="H492" s="48"/>
      <c r="I492" s="49"/>
      <c r="M492" s="45"/>
      <c r="N492" s="45"/>
      <c r="O492" s="45"/>
      <c r="P492" s="8"/>
      <c r="Q492" s="8"/>
    </row>
    <row r="493" ht="12.75">
      <c r="E493" s="8"/>
      <c r="F493" s="8"/>
      <c r="G493" s="8"/>
      <c r="H493" s="48"/>
      <c r="I493" s="49"/>
      <c r="M493" s="45"/>
      <c r="N493" s="45"/>
      <c r="O493" s="45"/>
      <c r="P493" s="8"/>
      <c r="Q493" s="8"/>
    </row>
    <row r="494" ht="12.75">
      <c r="E494" s="8"/>
      <c r="F494" s="8"/>
      <c r="G494" s="8"/>
      <c r="H494" s="48"/>
      <c r="I494" s="49"/>
      <c r="M494" s="45"/>
      <c r="N494" s="45"/>
      <c r="O494" s="45"/>
      <c r="P494" s="8"/>
      <c r="Q494" s="8"/>
    </row>
    <row r="495" ht="12.75">
      <c r="E495" s="8"/>
      <c r="F495" s="8"/>
      <c r="G495" s="8"/>
      <c r="H495" s="48"/>
      <c r="I495" s="49"/>
      <c r="M495" s="45"/>
      <c r="N495" s="45"/>
      <c r="O495" s="45"/>
      <c r="P495" s="8"/>
      <c r="Q495" s="8"/>
    </row>
    <row r="496" ht="12.75">
      <c r="E496" s="8"/>
      <c r="F496" s="8"/>
      <c r="G496" s="8"/>
      <c r="H496" s="48"/>
      <c r="I496" s="49"/>
      <c r="M496" s="45"/>
      <c r="N496" s="45"/>
      <c r="O496" s="45"/>
      <c r="P496" s="8"/>
      <c r="Q496" s="8"/>
    </row>
    <row r="497" ht="12.75">
      <c r="E497" s="8"/>
      <c r="F497" s="8"/>
      <c r="G497" s="8"/>
      <c r="H497" s="48"/>
      <c r="I497" s="49"/>
      <c r="M497" s="45"/>
      <c r="N497" s="45"/>
      <c r="O497" s="45"/>
      <c r="P497" s="8"/>
      <c r="Q497" s="8"/>
    </row>
    <row r="498" ht="12.75">
      <c r="E498" s="8"/>
      <c r="F498" s="8"/>
      <c r="G498" s="8"/>
      <c r="H498" s="48"/>
      <c r="I498" s="49"/>
      <c r="M498" s="45"/>
      <c r="N498" s="45"/>
      <c r="O498" s="45"/>
      <c r="P498" s="8"/>
      <c r="Q498" s="8"/>
    </row>
    <row r="499" ht="12.75">
      <c r="E499" s="8"/>
      <c r="F499" s="8"/>
      <c r="G499" s="8"/>
      <c r="H499" s="48"/>
      <c r="I499" s="49"/>
      <c r="M499" s="45"/>
      <c r="N499" s="45"/>
      <c r="O499" s="45"/>
      <c r="P499" s="8"/>
      <c r="Q499" s="8"/>
    </row>
    <row r="500" ht="12.75">
      <c r="E500" s="8"/>
      <c r="F500" s="8"/>
      <c r="G500" s="8"/>
      <c r="H500" s="48"/>
      <c r="I500" s="49"/>
      <c r="M500" s="45"/>
      <c r="N500" s="45"/>
      <c r="O500" s="45"/>
      <c r="P500" s="8"/>
      <c r="Q500" s="8"/>
    </row>
    <row r="501" ht="12.75">
      <c r="E501" s="8"/>
      <c r="F501" s="8"/>
      <c r="G501" s="8"/>
      <c r="H501" s="48"/>
      <c r="I501" s="49"/>
      <c r="M501" s="45"/>
      <c r="N501" s="45"/>
      <c r="O501" s="45"/>
      <c r="P501" s="8"/>
      <c r="Q501" s="8"/>
    </row>
    <row r="502" ht="12.75">
      <c r="E502" s="8"/>
      <c r="F502" s="8"/>
      <c r="G502" s="8"/>
      <c r="H502" s="48"/>
      <c r="I502" s="49"/>
      <c r="M502" s="45"/>
      <c r="N502" s="45"/>
      <c r="O502" s="45"/>
      <c r="P502" s="8"/>
      <c r="Q502" s="8"/>
    </row>
    <row r="503" ht="12.75">
      <c r="E503" s="8"/>
      <c r="F503" s="8"/>
      <c r="G503" s="8"/>
      <c r="H503" s="48"/>
      <c r="I503" s="49"/>
      <c r="M503" s="45"/>
      <c r="N503" s="45"/>
      <c r="O503" s="45"/>
      <c r="P503" s="8"/>
      <c r="Q503" s="8"/>
    </row>
    <row r="504" ht="12.75">
      <c r="E504" s="8"/>
      <c r="F504" s="8"/>
      <c r="G504" s="8"/>
      <c r="H504" s="48"/>
      <c r="I504" s="49"/>
      <c r="M504" s="45"/>
      <c r="N504" s="45"/>
      <c r="O504" s="45"/>
      <c r="P504" s="8"/>
      <c r="Q504" s="8"/>
    </row>
    <row r="505" ht="12.75">
      <c r="E505" s="8"/>
      <c r="F505" s="8"/>
      <c r="G505" s="8"/>
      <c r="H505" s="48"/>
      <c r="I505" s="49"/>
      <c r="M505" s="45"/>
      <c r="N505" s="45"/>
      <c r="O505" s="45"/>
      <c r="P505" s="8"/>
      <c r="Q505" s="8"/>
    </row>
    <row r="506" ht="12.75">
      <c r="E506" s="8"/>
      <c r="F506" s="8"/>
      <c r="G506" s="8"/>
      <c r="H506" s="48"/>
      <c r="I506" s="49"/>
      <c r="M506" s="45"/>
      <c r="N506" s="45"/>
      <c r="O506" s="45"/>
      <c r="P506" s="8"/>
      <c r="Q506" s="8"/>
    </row>
    <row r="507" ht="12.75">
      <c r="E507" s="8"/>
      <c r="F507" s="8"/>
      <c r="G507" s="8"/>
      <c r="H507" s="48"/>
      <c r="I507" s="49"/>
      <c r="M507" s="45"/>
      <c r="N507" s="45"/>
      <c r="O507" s="45"/>
      <c r="P507" s="8"/>
      <c r="Q507" s="8"/>
    </row>
    <row r="508" ht="12.75">
      <c r="E508" s="8"/>
      <c r="F508" s="8"/>
      <c r="G508" s="8"/>
      <c r="H508" s="48"/>
      <c r="I508" s="49"/>
      <c r="M508" s="45"/>
      <c r="N508" s="45"/>
      <c r="O508" s="45"/>
      <c r="P508" s="8"/>
      <c r="Q508" s="8"/>
    </row>
    <row r="509" ht="12.75">
      <c r="E509" s="8"/>
      <c r="F509" s="8"/>
      <c r="G509" s="8"/>
      <c r="H509" s="48"/>
      <c r="I509" s="49"/>
      <c r="M509" s="45"/>
      <c r="N509" s="45"/>
      <c r="O509" s="45"/>
      <c r="P509" s="8"/>
      <c r="Q509" s="8"/>
    </row>
    <row r="510" ht="12.75">
      <c r="E510" s="8"/>
      <c r="F510" s="8"/>
      <c r="G510" s="8"/>
      <c r="H510" s="48"/>
      <c r="I510" s="49"/>
      <c r="M510" s="45"/>
      <c r="N510" s="45"/>
      <c r="O510" s="45"/>
      <c r="P510" s="8"/>
      <c r="Q510" s="8"/>
    </row>
    <row r="511" ht="12.75">
      <c r="E511" s="8"/>
      <c r="F511" s="8"/>
      <c r="G511" s="8"/>
      <c r="H511" s="48"/>
      <c r="I511" s="49"/>
      <c r="M511" s="45"/>
      <c r="N511" s="45"/>
      <c r="O511" s="45"/>
      <c r="P511" s="8"/>
      <c r="Q511" s="8"/>
    </row>
    <row r="512" ht="12.75">
      <c r="E512" s="8"/>
      <c r="F512" s="8"/>
      <c r="G512" s="8"/>
      <c r="H512" s="48"/>
      <c r="I512" s="49"/>
      <c r="M512" s="45"/>
      <c r="N512" s="45"/>
      <c r="O512" s="45"/>
      <c r="P512" s="8"/>
      <c r="Q512" s="8"/>
    </row>
    <row r="513" ht="12.75">
      <c r="E513" s="8"/>
      <c r="F513" s="8"/>
      <c r="G513" s="8"/>
      <c r="H513" s="48"/>
      <c r="I513" s="49"/>
      <c r="M513" s="45"/>
      <c r="N513" s="45"/>
      <c r="O513" s="45"/>
      <c r="P513" s="8"/>
      <c r="Q513" s="8"/>
    </row>
    <row r="514" ht="12.75">
      <c r="E514" s="8"/>
      <c r="F514" s="8"/>
      <c r="G514" s="8"/>
      <c r="H514" s="48"/>
      <c r="I514" s="49"/>
      <c r="M514" s="45"/>
      <c r="N514" s="45"/>
      <c r="O514" s="45"/>
      <c r="P514" s="8"/>
      <c r="Q514" s="8"/>
    </row>
    <row r="515" ht="12.75">
      <c r="E515" s="8"/>
      <c r="F515" s="8"/>
      <c r="G515" s="8"/>
      <c r="H515" s="48"/>
      <c r="I515" s="49"/>
      <c r="M515" s="45"/>
      <c r="N515" s="45"/>
      <c r="O515" s="45"/>
      <c r="P515" s="8"/>
      <c r="Q515" s="8"/>
    </row>
    <row r="516" ht="12.75">
      <c r="E516" s="8"/>
      <c r="F516" s="8"/>
      <c r="G516" s="8"/>
      <c r="H516" s="48"/>
      <c r="I516" s="49"/>
      <c r="M516" s="45"/>
      <c r="N516" s="45"/>
      <c r="O516" s="45"/>
      <c r="P516" s="8"/>
      <c r="Q516" s="8"/>
    </row>
    <row r="517" ht="12.75">
      <c r="E517" s="8"/>
      <c r="F517" s="8"/>
      <c r="G517" s="8"/>
      <c r="H517" s="48"/>
      <c r="I517" s="49"/>
      <c r="M517" s="45"/>
      <c r="N517" s="45"/>
      <c r="O517" s="45"/>
      <c r="P517" s="8"/>
      <c r="Q517" s="8"/>
    </row>
    <row r="518" ht="12.75">
      <c r="E518" s="8"/>
      <c r="F518" s="8"/>
      <c r="G518" s="8"/>
      <c r="H518" s="48"/>
      <c r="I518" s="49"/>
      <c r="M518" s="45"/>
      <c r="N518" s="45"/>
      <c r="O518" s="45"/>
      <c r="P518" s="8"/>
      <c r="Q518" s="8"/>
    </row>
    <row r="519" ht="12.75">
      <c r="E519" s="8"/>
      <c r="F519" s="8"/>
      <c r="G519" s="8"/>
      <c r="H519" s="48"/>
      <c r="I519" s="49"/>
      <c r="M519" s="45"/>
      <c r="N519" s="45"/>
      <c r="O519" s="45"/>
      <c r="P519" s="8"/>
      <c r="Q519" s="8"/>
    </row>
    <row r="520" ht="12.75">
      <c r="E520" s="8"/>
      <c r="F520" s="8"/>
      <c r="G520" s="8"/>
      <c r="H520" s="48"/>
      <c r="I520" s="49"/>
      <c r="M520" s="45"/>
      <c r="N520" s="45"/>
      <c r="O520" s="45"/>
      <c r="P520" s="8"/>
      <c r="Q520" s="8"/>
    </row>
    <row r="521" ht="12.75">
      <c r="E521" s="8"/>
      <c r="F521" s="8"/>
      <c r="G521" s="8"/>
      <c r="H521" s="48"/>
      <c r="I521" s="49"/>
      <c r="M521" s="45"/>
      <c r="N521" s="45"/>
      <c r="O521" s="45"/>
      <c r="P521" s="8"/>
      <c r="Q521" s="8"/>
    </row>
    <row r="522" ht="12.75">
      <c r="E522" s="8"/>
      <c r="F522" s="8"/>
      <c r="G522" s="8"/>
      <c r="H522" s="48"/>
      <c r="I522" s="49"/>
      <c r="M522" s="45"/>
      <c r="N522" s="45"/>
      <c r="O522" s="45"/>
      <c r="P522" s="8"/>
      <c r="Q522" s="8"/>
    </row>
    <row r="523" ht="12.75">
      <c r="E523" s="8"/>
      <c r="F523" s="8"/>
      <c r="G523" s="8"/>
      <c r="H523" s="48"/>
      <c r="I523" s="49"/>
      <c r="M523" s="45"/>
      <c r="N523" s="45"/>
      <c r="O523" s="45"/>
      <c r="P523" s="8"/>
      <c r="Q523" s="8"/>
    </row>
    <row r="524" ht="12.75">
      <c r="E524" s="8"/>
      <c r="F524" s="8"/>
      <c r="G524" s="8"/>
      <c r="H524" s="48"/>
      <c r="I524" s="49"/>
      <c r="M524" s="45"/>
      <c r="N524" s="45"/>
      <c r="O524" s="45"/>
      <c r="P524" s="8"/>
      <c r="Q524" s="8"/>
    </row>
    <row r="525" ht="12.75">
      <c r="E525" s="8"/>
      <c r="F525" s="8"/>
      <c r="G525" s="8"/>
      <c r="H525" s="48"/>
      <c r="I525" s="49"/>
      <c r="M525" s="45"/>
      <c r="N525" s="45"/>
      <c r="O525" s="45"/>
      <c r="P525" s="8"/>
      <c r="Q525" s="8"/>
    </row>
    <row r="526" ht="12.75">
      <c r="E526" s="8"/>
      <c r="F526" s="8"/>
      <c r="G526" s="8"/>
      <c r="H526" s="48"/>
      <c r="I526" s="49"/>
      <c r="M526" s="45"/>
      <c r="N526" s="45"/>
      <c r="O526" s="45"/>
      <c r="P526" s="8"/>
      <c r="Q526" s="8"/>
    </row>
    <row r="527" ht="12.75">
      <c r="E527" s="8"/>
      <c r="F527" s="8"/>
      <c r="G527" s="8"/>
      <c r="H527" s="48"/>
      <c r="I527" s="49"/>
      <c r="M527" s="45"/>
      <c r="N527" s="45"/>
      <c r="O527" s="45"/>
      <c r="P527" s="8"/>
      <c r="Q527" s="8"/>
    </row>
    <row r="528" ht="12.75">
      <c r="E528" s="8"/>
      <c r="F528" s="8"/>
      <c r="G528" s="8"/>
      <c r="H528" s="48"/>
      <c r="I528" s="49"/>
      <c r="M528" s="45"/>
      <c r="N528" s="45"/>
      <c r="O528" s="45"/>
      <c r="P528" s="8"/>
      <c r="Q528" s="8"/>
    </row>
    <row r="529" ht="12.75">
      <c r="E529" s="8"/>
      <c r="F529" s="8"/>
      <c r="G529" s="8"/>
      <c r="H529" s="48"/>
      <c r="I529" s="49"/>
      <c r="M529" s="45"/>
      <c r="N529" s="45"/>
      <c r="O529" s="45"/>
      <c r="P529" s="8"/>
      <c r="Q529" s="8"/>
    </row>
    <row r="530" ht="12.75">
      <c r="E530" s="8"/>
      <c r="F530" s="8"/>
      <c r="G530" s="8"/>
      <c r="H530" s="48"/>
      <c r="I530" s="49"/>
      <c r="M530" s="45"/>
      <c r="N530" s="45"/>
      <c r="O530" s="45"/>
      <c r="P530" s="8"/>
      <c r="Q530" s="8"/>
    </row>
    <row r="531" ht="12.75">
      <c r="E531" s="8"/>
      <c r="F531" s="8"/>
      <c r="G531" s="8"/>
      <c r="H531" s="48"/>
      <c r="I531" s="49"/>
      <c r="M531" s="45"/>
      <c r="N531" s="45"/>
      <c r="O531" s="45"/>
      <c r="P531" s="8"/>
      <c r="Q531" s="8"/>
    </row>
    <row r="532" ht="12.75">
      <c r="E532" s="8"/>
      <c r="F532" s="8"/>
      <c r="G532" s="8"/>
      <c r="H532" s="48"/>
      <c r="I532" s="49"/>
      <c r="M532" s="45"/>
      <c r="N532" s="45"/>
      <c r="O532" s="45"/>
      <c r="P532" s="8"/>
      <c r="Q532" s="8"/>
    </row>
    <row r="533" ht="12.75">
      <c r="E533" s="8"/>
      <c r="F533" s="8"/>
      <c r="G533" s="8"/>
      <c r="H533" s="48"/>
      <c r="I533" s="49"/>
      <c r="M533" s="45"/>
      <c r="N533" s="45"/>
      <c r="O533" s="45"/>
      <c r="P533" s="8"/>
      <c r="Q533" s="8"/>
    </row>
    <row r="534" ht="12.75">
      <c r="E534" s="8"/>
      <c r="F534" s="8"/>
      <c r="G534" s="8"/>
      <c r="H534" s="48"/>
      <c r="I534" s="49"/>
      <c r="M534" s="45"/>
      <c r="N534" s="45"/>
      <c r="O534" s="45"/>
      <c r="P534" s="8"/>
      <c r="Q534" s="8"/>
    </row>
    <row r="535" ht="12.75">
      <c r="E535" s="8"/>
      <c r="F535" s="8"/>
      <c r="G535" s="8"/>
      <c r="H535" s="48"/>
      <c r="I535" s="49"/>
      <c r="M535" s="45"/>
      <c r="N535" s="45"/>
      <c r="O535" s="45"/>
      <c r="P535" s="8"/>
      <c r="Q535" s="8"/>
    </row>
    <row r="536" ht="12.75">
      <c r="E536" s="8"/>
      <c r="F536" s="8"/>
      <c r="G536" s="8"/>
      <c r="H536" s="48"/>
      <c r="I536" s="49"/>
      <c r="M536" s="45"/>
      <c r="N536" s="45"/>
      <c r="O536" s="45"/>
      <c r="P536" s="8"/>
      <c r="Q536" s="8"/>
    </row>
    <row r="537" ht="12.75">
      <c r="E537" s="8"/>
      <c r="F537" s="8"/>
      <c r="G537" s="8"/>
      <c r="H537" s="48"/>
      <c r="I537" s="49"/>
      <c r="M537" s="45"/>
      <c r="N537" s="45"/>
      <c r="O537" s="45"/>
      <c r="P537" s="8"/>
      <c r="Q537" s="8"/>
    </row>
    <row r="538" ht="12.75">
      <c r="E538" s="8"/>
      <c r="F538" s="8"/>
      <c r="G538" s="8"/>
      <c r="H538" s="48"/>
      <c r="I538" s="49"/>
      <c r="M538" s="45"/>
      <c r="N538" s="45"/>
      <c r="O538" s="45"/>
      <c r="P538" s="8"/>
      <c r="Q538" s="8"/>
    </row>
    <row r="539" ht="12.75">
      <c r="E539" s="8"/>
      <c r="F539" s="8"/>
      <c r="G539" s="8"/>
      <c r="H539" s="48"/>
      <c r="I539" s="49"/>
      <c r="M539" s="45"/>
      <c r="N539" s="45"/>
      <c r="O539" s="45"/>
      <c r="P539" s="8"/>
      <c r="Q539" s="8"/>
    </row>
    <row r="540" ht="12.75">
      <c r="E540" s="8"/>
      <c r="F540" s="8"/>
      <c r="G540" s="8"/>
      <c r="H540" s="48"/>
      <c r="I540" s="49"/>
      <c r="M540" s="45"/>
      <c r="N540" s="45"/>
      <c r="O540" s="45"/>
      <c r="P540" s="8"/>
      <c r="Q540" s="8"/>
    </row>
    <row r="541" ht="12.75">
      <c r="E541" s="8"/>
      <c r="F541" s="8"/>
      <c r="G541" s="8"/>
      <c r="H541" s="48"/>
      <c r="I541" s="49"/>
      <c r="M541" s="45"/>
      <c r="N541" s="45"/>
      <c r="O541" s="45"/>
      <c r="P541" s="8"/>
      <c r="Q541" s="8"/>
    </row>
    <row r="542" ht="12.75">
      <c r="E542" s="8"/>
      <c r="F542" s="8"/>
      <c r="G542" s="8"/>
      <c r="H542" s="48"/>
      <c r="I542" s="49"/>
      <c r="M542" s="45"/>
      <c r="N542" s="45"/>
      <c r="O542" s="45"/>
      <c r="P542" s="8"/>
      <c r="Q542" s="8"/>
    </row>
    <row r="543" ht="12.75">
      <c r="E543" s="8"/>
      <c r="F543" s="8"/>
      <c r="G543" s="8"/>
      <c r="H543" s="48"/>
      <c r="I543" s="49"/>
      <c r="M543" s="45"/>
      <c r="N543" s="45"/>
      <c r="O543" s="45"/>
      <c r="P543" s="8"/>
      <c r="Q543" s="8"/>
    </row>
    <row r="544" ht="12.75">
      <c r="E544" s="8"/>
      <c r="F544" s="8"/>
      <c r="G544" s="8"/>
      <c r="H544" s="48"/>
      <c r="I544" s="49"/>
      <c r="M544" s="45"/>
      <c r="N544" s="45"/>
      <c r="O544" s="45"/>
      <c r="P544" s="8"/>
      <c r="Q544" s="8"/>
    </row>
    <row r="545" ht="12.75">
      <c r="E545" s="8"/>
      <c r="F545" s="8"/>
      <c r="G545" s="8"/>
      <c r="H545" s="48"/>
      <c r="I545" s="49"/>
      <c r="M545" s="45"/>
      <c r="N545" s="45"/>
      <c r="O545" s="45"/>
      <c r="P545" s="8"/>
      <c r="Q545" s="8"/>
    </row>
    <row r="546" ht="12.75">
      <c r="E546" s="8"/>
      <c r="F546" s="8"/>
      <c r="G546" s="8"/>
      <c r="H546" s="48"/>
      <c r="I546" s="49"/>
      <c r="M546" s="45"/>
      <c r="N546" s="45"/>
      <c r="O546" s="45"/>
      <c r="P546" s="8"/>
      <c r="Q546" s="8"/>
    </row>
    <row r="547" ht="12.75">
      <c r="E547" s="8"/>
      <c r="F547" s="8"/>
      <c r="G547" s="8"/>
      <c r="H547" s="48"/>
      <c r="I547" s="49"/>
      <c r="M547" s="45"/>
      <c r="N547" s="45"/>
      <c r="O547" s="45"/>
      <c r="P547" s="8"/>
      <c r="Q547" s="8"/>
    </row>
    <row r="548" ht="12.75">
      <c r="E548" s="8"/>
      <c r="F548" s="8"/>
      <c r="G548" s="8"/>
      <c r="H548" s="48"/>
      <c r="I548" s="49"/>
      <c r="M548" s="45"/>
      <c r="N548" s="45"/>
      <c r="O548" s="45"/>
      <c r="P548" s="8"/>
      <c r="Q548" s="8"/>
    </row>
    <row r="549" ht="12.75">
      <c r="E549" s="8"/>
      <c r="F549" s="8"/>
      <c r="G549" s="8"/>
      <c r="H549" s="48"/>
      <c r="I549" s="49"/>
      <c r="M549" s="45"/>
      <c r="N549" s="45"/>
      <c r="O549" s="45"/>
      <c r="P549" s="8"/>
      <c r="Q549" s="8"/>
    </row>
    <row r="550" ht="12.75">
      <c r="E550" s="8"/>
      <c r="F550" s="8"/>
      <c r="G550" s="8"/>
      <c r="H550" s="48"/>
      <c r="I550" s="49"/>
      <c r="M550" s="45"/>
      <c r="N550" s="45"/>
      <c r="O550" s="45"/>
      <c r="P550" s="8"/>
      <c r="Q550" s="8"/>
    </row>
    <row r="551" ht="12.75">
      <c r="E551" s="8"/>
      <c r="F551" s="8"/>
      <c r="G551" s="8"/>
      <c r="H551" s="48"/>
      <c r="I551" s="49"/>
      <c r="M551" s="45"/>
      <c r="N551" s="45"/>
      <c r="O551" s="45"/>
      <c r="P551" s="8"/>
      <c r="Q551" s="8"/>
    </row>
    <row r="552" ht="12.75">
      <c r="E552" s="8"/>
      <c r="F552" s="8"/>
      <c r="G552" s="8"/>
      <c r="H552" s="48"/>
      <c r="I552" s="49"/>
      <c r="M552" s="45"/>
      <c r="N552" s="45"/>
      <c r="O552" s="45"/>
      <c r="P552" s="8"/>
      <c r="Q552" s="8"/>
    </row>
    <row r="553" ht="12.75">
      <c r="E553" s="8"/>
      <c r="F553" s="8"/>
      <c r="G553" s="8"/>
      <c r="H553" s="48"/>
      <c r="I553" s="49"/>
      <c r="M553" s="45"/>
      <c r="N553" s="45"/>
      <c r="O553" s="45"/>
      <c r="P553" s="8"/>
      <c r="Q553" s="8"/>
    </row>
    <row r="554" ht="12.75">
      <c r="E554" s="8"/>
      <c r="F554" s="8"/>
      <c r="G554" s="8"/>
      <c r="H554" s="48"/>
      <c r="I554" s="49"/>
      <c r="M554" s="45"/>
      <c r="N554" s="45"/>
      <c r="O554" s="45"/>
      <c r="P554" s="8"/>
      <c r="Q554" s="8"/>
    </row>
    <row r="555" ht="12.75">
      <c r="E555" s="8"/>
      <c r="F555" s="8"/>
      <c r="G555" s="8"/>
      <c r="H555" s="48"/>
      <c r="I555" s="49"/>
      <c r="M555" s="45"/>
      <c r="N555" s="45"/>
      <c r="O555" s="45"/>
      <c r="P555" s="8"/>
      <c r="Q555" s="8"/>
    </row>
    <row r="556" ht="12.75">
      <c r="E556" s="8"/>
      <c r="F556" s="8"/>
      <c r="G556" s="8"/>
      <c r="H556" s="48"/>
      <c r="I556" s="49"/>
      <c r="M556" s="45"/>
      <c r="N556" s="45"/>
      <c r="O556" s="45"/>
      <c r="P556" s="8"/>
      <c r="Q556" s="8"/>
    </row>
    <row r="557" ht="12.75">
      <c r="E557" s="8"/>
      <c r="F557" s="8"/>
      <c r="G557" s="8"/>
      <c r="H557" s="48"/>
      <c r="I557" s="49"/>
      <c r="M557" s="45"/>
      <c r="N557" s="45"/>
      <c r="O557" s="45"/>
      <c r="P557" s="8"/>
      <c r="Q557" s="8"/>
    </row>
    <row r="558" ht="12.75">
      <c r="E558" s="8"/>
      <c r="F558" s="8"/>
      <c r="G558" s="8"/>
      <c r="H558" s="48"/>
      <c r="I558" s="49"/>
      <c r="M558" s="45"/>
      <c r="N558" s="45"/>
      <c r="O558" s="45"/>
      <c r="P558" s="8"/>
      <c r="Q558" s="8"/>
    </row>
    <row r="559" ht="12.75">
      <c r="E559" s="8"/>
      <c r="F559" s="8"/>
      <c r="G559" s="8"/>
      <c r="H559" s="48"/>
      <c r="I559" s="49"/>
      <c r="M559" s="45"/>
      <c r="N559" s="45"/>
      <c r="O559" s="45"/>
      <c r="P559" s="8"/>
      <c r="Q559" s="8"/>
    </row>
    <row r="560" ht="12.75">
      <c r="E560" s="8"/>
      <c r="F560" s="8"/>
      <c r="G560" s="8"/>
      <c r="H560" s="48"/>
      <c r="I560" s="49"/>
      <c r="M560" s="45"/>
      <c r="N560" s="45"/>
      <c r="O560" s="45"/>
      <c r="P560" s="8"/>
      <c r="Q560" s="8"/>
    </row>
    <row r="561" ht="12.75">
      <c r="E561" s="8"/>
      <c r="F561" s="8"/>
      <c r="G561" s="8"/>
      <c r="H561" s="48"/>
      <c r="I561" s="49"/>
      <c r="M561" s="45"/>
      <c r="N561" s="45"/>
      <c r="O561" s="45"/>
      <c r="P561" s="8"/>
      <c r="Q561" s="8"/>
    </row>
    <row r="562" ht="12.75">
      <c r="E562" s="8"/>
      <c r="F562" s="8"/>
      <c r="G562" s="8"/>
      <c r="H562" s="48"/>
      <c r="I562" s="49"/>
      <c r="M562" s="45"/>
      <c r="N562" s="45"/>
      <c r="O562" s="45"/>
      <c r="P562" s="8"/>
      <c r="Q562" s="8"/>
    </row>
    <row r="563" ht="12.75">
      <c r="E563" s="8"/>
      <c r="F563" s="8"/>
      <c r="G563" s="8"/>
      <c r="H563" s="48"/>
      <c r="I563" s="49"/>
      <c r="M563" s="45"/>
      <c r="N563" s="45"/>
      <c r="O563" s="45"/>
      <c r="P563" s="8"/>
      <c r="Q563" s="8"/>
    </row>
    <row r="564" ht="12.75">
      <c r="E564" s="8"/>
      <c r="F564" s="8"/>
      <c r="G564" s="8"/>
      <c r="H564" s="48"/>
      <c r="I564" s="49"/>
      <c r="M564" s="45"/>
      <c r="N564" s="45"/>
      <c r="O564" s="45"/>
      <c r="P564" s="8"/>
      <c r="Q564" s="8"/>
    </row>
    <row r="565" ht="12.75">
      <c r="E565" s="8"/>
      <c r="F565" s="8"/>
      <c r="G565" s="8"/>
      <c r="H565" s="48"/>
      <c r="I565" s="49"/>
      <c r="M565" s="45"/>
      <c r="N565" s="45"/>
      <c r="O565" s="45"/>
      <c r="P565" s="8"/>
      <c r="Q565" s="8"/>
    </row>
    <row r="566" ht="12.75">
      <c r="E566" s="8"/>
      <c r="F566" s="8"/>
      <c r="G566" s="8"/>
      <c r="H566" s="48"/>
      <c r="I566" s="49"/>
      <c r="M566" s="45"/>
      <c r="N566" s="45"/>
      <c r="O566" s="45"/>
      <c r="P566" s="8"/>
      <c r="Q566" s="8"/>
    </row>
    <row r="567" ht="12.75">
      <c r="E567" s="8"/>
      <c r="F567" s="8"/>
      <c r="G567" s="8"/>
      <c r="H567" s="48"/>
      <c r="I567" s="49"/>
      <c r="M567" s="45"/>
      <c r="N567" s="45"/>
      <c r="O567" s="45"/>
      <c r="P567" s="8"/>
      <c r="Q567" s="8"/>
    </row>
    <row r="568" ht="12.75">
      <c r="E568" s="8"/>
      <c r="F568" s="8"/>
      <c r="G568" s="8"/>
      <c r="H568" s="48"/>
      <c r="I568" s="49"/>
      <c r="M568" s="45"/>
      <c r="N568" s="45"/>
      <c r="O568" s="45"/>
      <c r="P568" s="8"/>
      <c r="Q568" s="8"/>
    </row>
    <row r="569" ht="12.75">
      <c r="E569" s="8"/>
      <c r="F569" s="8"/>
      <c r="G569" s="8"/>
      <c r="H569" s="48"/>
      <c r="I569" s="49"/>
      <c r="M569" s="45"/>
      <c r="N569" s="45"/>
      <c r="O569" s="45"/>
      <c r="P569" s="8"/>
      <c r="Q569" s="8"/>
    </row>
    <row r="570" ht="12.75">
      <c r="E570" s="8"/>
      <c r="F570" s="8"/>
      <c r="G570" s="8"/>
      <c r="H570" s="48"/>
      <c r="I570" s="49"/>
      <c r="M570" s="45"/>
      <c r="N570" s="45"/>
      <c r="O570" s="45"/>
      <c r="P570" s="8"/>
      <c r="Q570" s="8"/>
    </row>
    <row r="571" ht="12.75">
      <c r="E571" s="8"/>
      <c r="F571" s="8"/>
      <c r="G571" s="8"/>
      <c r="H571" s="48"/>
      <c r="I571" s="49"/>
      <c r="M571" s="45"/>
      <c r="N571" s="45"/>
      <c r="O571" s="45"/>
      <c r="P571" s="8"/>
      <c r="Q571" s="8"/>
    </row>
    <row r="572" ht="12.75">
      <c r="E572" s="8"/>
      <c r="F572" s="8"/>
      <c r="G572" s="8"/>
      <c r="H572" s="48"/>
      <c r="I572" s="49"/>
      <c r="M572" s="45"/>
      <c r="N572" s="45"/>
      <c r="O572" s="45"/>
      <c r="P572" s="8"/>
      <c r="Q572" s="8"/>
    </row>
    <row r="573" ht="12.75">
      <c r="E573" s="8"/>
      <c r="F573" s="8"/>
      <c r="G573" s="8"/>
      <c r="H573" s="48"/>
      <c r="I573" s="49"/>
      <c r="M573" s="45"/>
      <c r="N573" s="45"/>
      <c r="O573" s="45"/>
      <c r="P573" s="8"/>
      <c r="Q573" s="8"/>
    </row>
    <row r="574" ht="12.75">
      <c r="E574" s="8"/>
      <c r="F574" s="8"/>
      <c r="G574" s="8"/>
      <c r="H574" s="48"/>
      <c r="I574" s="49"/>
      <c r="M574" s="45"/>
      <c r="N574" s="45"/>
      <c r="O574" s="45"/>
      <c r="P574" s="8"/>
      <c r="Q574" s="8"/>
    </row>
    <row r="575" ht="12.75">
      <c r="E575" s="8"/>
      <c r="F575" s="8"/>
      <c r="G575" s="8"/>
      <c r="H575" s="48"/>
      <c r="I575" s="49"/>
      <c r="M575" s="45"/>
      <c r="N575" s="45"/>
      <c r="O575" s="45"/>
      <c r="P575" s="8"/>
      <c r="Q575" s="8"/>
    </row>
    <row r="576" ht="12.75">
      <c r="E576" s="8"/>
      <c r="F576" s="8"/>
      <c r="G576" s="8"/>
      <c r="H576" s="48"/>
      <c r="I576" s="49"/>
      <c r="M576" s="45"/>
      <c r="N576" s="45"/>
      <c r="O576" s="45"/>
      <c r="P576" s="8"/>
      <c r="Q576" s="8"/>
    </row>
    <row r="577" ht="12.75">
      <c r="E577" s="8"/>
      <c r="F577" s="8"/>
      <c r="G577" s="8"/>
      <c r="H577" s="48"/>
      <c r="I577" s="49"/>
      <c r="M577" s="45"/>
      <c r="N577" s="45"/>
      <c r="O577" s="45"/>
      <c r="P577" s="8"/>
      <c r="Q577" s="8"/>
    </row>
    <row r="578" ht="12.75">
      <c r="E578" s="8"/>
      <c r="F578" s="8"/>
      <c r="G578" s="8"/>
      <c r="H578" s="48"/>
      <c r="I578" s="49"/>
      <c r="M578" s="45"/>
      <c r="N578" s="45"/>
      <c r="O578" s="45"/>
      <c r="P578" s="8"/>
      <c r="Q578" s="8"/>
    </row>
    <row r="579" ht="12.75">
      <c r="E579" s="8"/>
      <c r="F579" s="8"/>
      <c r="G579" s="8"/>
      <c r="H579" s="48"/>
      <c r="I579" s="49"/>
      <c r="M579" s="45"/>
      <c r="N579" s="45"/>
      <c r="O579" s="45"/>
      <c r="P579" s="8"/>
      <c r="Q579" s="8"/>
    </row>
    <row r="580" ht="12.75">
      <c r="E580" s="8"/>
      <c r="F580" s="8"/>
      <c r="G580" s="8"/>
      <c r="H580" s="48"/>
      <c r="I580" s="49"/>
      <c r="M580" s="45"/>
      <c r="N580" s="45"/>
      <c r="O580" s="45"/>
      <c r="P580" s="8"/>
      <c r="Q580" s="8"/>
    </row>
    <row r="581" ht="12.75">
      <c r="E581" s="8"/>
      <c r="F581" s="8"/>
      <c r="G581" s="8"/>
      <c r="H581" s="48"/>
      <c r="I581" s="49"/>
      <c r="M581" s="45"/>
      <c r="N581" s="45"/>
      <c r="O581" s="45"/>
      <c r="P581" s="8"/>
      <c r="Q581" s="8"/>
    </row>
    <row r="582" ht="12.75">
      <c r="E582" s="8"/>
      <c r="F582" s="8"/>
      <c r="G582" s="8"/>
      <c r="H582" s="48"/>
      <c r="I582" s="49"/>
      <c r="M582" s="45"/>
      <c r="N582" s="45"/>
      <c r="O582" s="45"/>
      <c r="P582" s="8"/>
      <c r="Q582" s="8"/>
    </row>
    <row r="583" ht="12.75">
      <c r="E583" s="8"/>
      <c r="F583" s="8"/>
      <c r="G583" s="8"/>
      <c r="H583" s="48"/>
      <c r="I583" s="49"/>
      <c r="M583" s="45"/>
      <c r="N583" s="45"/>
      <c r="O583" s="45"/>
      <c r="P583" s="8"/>
      <c r="Q583" s="8"/>
    </row>
    <row r="584" ht="12.75">
      <c r="E584" s="8"/>
      <c r="F584" s="8"/>
      <c r="G584" s="8"/>
      <c r="H584" s="48"/>
      <c r="I584" s="49"/>
      <c r="M584" s="45"/>
      <c r="N584" s="45"/>
      <c r="O584" s="45"/>
      <c r="P584" s="8"/>
      <c r="Q584" s="8"/>
    </row>
    <row r="585" ht="12.75">
      <c r="E585" s="8"/>
      <c r="F585" s="8"/>
      <c r="G585" s="8"/>
      <c r="H585" s="48"/>
      <c r="I585" s="49"/>
      <c r="M585" s="45"/>
      <c r="N585" s="45"/>
      <c r="O585" s="45"/>
      <c r="P585" s="8"/>
      <c r="Q585" s="8"/>
    </row>
    <row r="586" ht="12.75">
      <c r="E586" s="8"/>
      <c r="F586" s="8"/>
      <c r="G586" s="8"/>
      <c r="H586" s="48"/>
      <c r="I586" s="49"/>
      <c r="M586" s="45"/>
      <c r="N586" s="45"/>
      <c r="O586" s="45"/>
      <c r="P586" s="8"/>
      <c r="Q586" s="8"/>
    </row>
    <row r="587" ht="12.75">
      <c r="E587" s="8"/>
      <c r="F587" s="8"/>
      <c r="G587" s="8"/>
      <c r="H587" s="48"/>
      <c r="I587" s="49"/>
      <c r="M587" s="45"/>
      <c r="N587" s="45"/>
      <c r="O587" s="45"/>
      <c r="P587" s="8"/>
      <c r="Q587" s="8"/>
    </row>
    <row r="588" ht="12.75">
      <c r="E588" s="8"/>
      <c r="F588" s="8"/>
      <c r="G588" s="8"/>
      <c r="H588" s="48"/>
      <c r="I588" s="49"/>
      <c r="M588" s="45"/>
      <c r="N588" s="45"/>
      <c r="O588" s="45"/>
      <c r="P588" s="8"/>
      <c r="Q588" s="8"/>
    </row>
    <row r="589" ht="12.75">
      <c r="E589" s="8"/>
      <c r="F589" s="8"/>
      <c r="G589" s="8"/>
      <c r="H589" s="48"/>
      <c r="I589" s="49"/>
      <c r="M589" s="45"/>
      <c r="N589" s="45"/>
      <c r="O589" s="45"/>
      <c r="P589" s="8"/>
      <c r="Q589" s="8"/>
    </row>
    <row r="590" ht="12.75">
      <c r="E590" s="8"/>
      <c r="F590" s="8"/>
      <c r="G590" s="8"/>
      <c r="H590" s="48"/>
      <c r="I590" s="49"/>
      <c r="M590" s="45"/>
      <c r="N590" s="45"/>
      <c r="O590" s="45"/>
      <c r="P590" s="8"/>
      <c r="Q590" s="8"/>
    </row>
    <row r="591" ht="12.75">
      <c r="E591" s="8"/>
      <c r="F591" s="8"/>
      <c r="G591" s="8"/>
      <c r="H591" s="48"/>
      <c r="I591" s="49"/>
      <c r="M591" s="45"/>
      <c r="N591" s="45"/>
      <c r="O591" s="45"/>
      <c r="P591" s="8"/>
      <c r="Q591" s="8"/>
    </row>
    <row r="592" ht="12.75">
      <c r="E592" s="8"/>
      <c r="F592" s="8"/>
      <c r="G592" s="8"/>
      <c r="H592" s="48"/>
      <c r="I592" s="49"/>
      <c r="M592" s="45"/>
      <c r="N592" s="45"/>
      <c r="O592" s="45"/>
      <c r="P592" s="8"/>
      <c r="Q592" s="8"/>
    </row>
    <row r="593" ht="12.75">
      <c r="E593" s="8"/>
      <c r="F593" s="8"/>
      <c r="G593" s="8"/>
      <c r="H593" s="48"/>
      <c r="I593" s="49"/>
      <c r="M593" s="45"/>
      <c r="N593" s="45"/>
      <c r="O593" s="45"/>
      <c r="P593" s="8"/>
      <c r="Q593" s="8"/>
    </row>
    <row r="594" ht="12.75">
      <c r="E594" s="8"/>
      <c r="F594" s="8"/>
      <c r="G594" s="8"/>
      <c r="H594" s="48"/>
      <c r="I594" s="49"/>
      <c r="M594" s="45"/>
      <c r="N594" s="45"/>
      <c r="O594" s="45"/>
      <c r="P594" s="8"/>
      <c r="Q594" s="8"/>
    </row>
    <row r="595" ht="12.75">
      <c r="E595" s="8"/>
      <c r="F595" s="8"/>
      <c r="G595" s="8"/>
      <c r="H595" s="48"/>
      <c r="I595" s="49"/>
      <c r="M595" s="45"/>
      <c r="N595" s="45"/>
      <c r="O595" s="45"/>
      <c r="P595" s="8"/>
      <c r="Q595" s="8"/>
    </row>
    <row r="596" ht="12.75">
      <c r="E596" s="8"/>
      <c r="F596" s="8"/>
      <c r="G596" s="8"/>
      <c r="H596" s="48"/>
      <c r="I596" s="49"/>
      <c r="M596" s="45"/>
      <c r="N596" s="45"/>
      <c r="O596" s="45"/>
      <c r="P596" s="8"/>
      <c r="Q596" s="8"/>
    </row>
    <row r="597" ht="12.75">
      <c r="E597" s="8"/>
      <c r="F597" s="8"/>
      <c r="G597" s="8"/>
      <c r="H597" s="48"/>
      <c r="I597" s="49"/>
      <c r="M597" s="45"/>
      <c r="N597" s="45"/>
      <c r="O597" s="45"/>
      <c r="P597" s="8"/>
      <c r="Q597" s="8"/>
    </row>
    <row r="598" ht="12.75">
      <c r="E598" s="8"/>
      <c r="F598" s="8"/>
      <c r="G598" s="8"/>
      <c r="H598" s="48"/>
      <c r="I598" s="49"/>
      <c r="M598" s="45"/>
      <c r="N598" s="45"/>
      <c r="O598" s="45"/>
      <c r="P598" s="8"/>
      <c r="Q598" s="8"/>
    </row>
    <row r="599" ht="12.75">
      <c r="E599" s="8"/>
      <c r="F599" s="8"/>
      <c r="G599" s="8"/>
      <c r="H599" s="48"/>
      <c r="I599" s="49"/>
      <c r="M599" s="45"/>
      <c r="N599" s="45"/>
      <c r="O599" s="45"/>
      <c r="P599" s="8"/>
      <c r="Q599" s="8"/>
    </row>
    <row r="600" ht="12.75">
      <c r="E600" s="8"/>
      <c r="F600" s="8"/>
      <c r="G600" s="8"/>
      <c r="H600" s="48"/>
      <c r="I600" s="49"/>
      <c r="M600" s="45"/>
      <c r="N600" s="45"/>
      <c r="O600" s="45"/>
      <c r="P600" s="8"/>
      <c r="Q600" s="8"/>
    </row>
    <row r="601" ht="12.75">
      <c r="E601" s="8"/>
      <c r="F601" s="8"/>
      <c r="G601" s="8"/>
      <c r="H601" s="48"/>
      <c r="I601" s="49"/>
      <c r="M601" s="45"/>
      <c r="N601" s="45"/>
      <c r="O601" s="45"/>
      <c r="P601" s="8"/>
      <c r="Q601" s="8"/>
    </row>
    <row r="602" ht="12.75">
      <c r="E602" s="8"/>
      <c r="F602" s="8"/>
      <c r="G602" s="8"/>
      <c r="H602" s="48"/>
      <c r="I602" s="49"/>
      <c r="M602" s="45"/>
      <c r="N602" s="45"/>
      <c r="O602" s="45"/>
      <c r="P602" s="8"/>
      <c r="Q602" s="8"/>
    </row>
    <row r="603" ht="12.75">
      <c r="E603" s="8"/>
      <c r="F603" s="8"/>
      <c r="G603" s="8"/>
      <c r="H603" s="48"/>
      <c r="I603" s="49"/>
      <c r="M603" s="45"/>
      <c r="N603" s="45"/>
      <c r="O603" s="45"/>
      <c r="P603" s="8"/>
      <c r="Q603" s="8"/>
    </row>
    <row r="604" ht="12.75">
      <c r="E604" s="8"/>
      <c r="F604" s="8"/>
      <c r="G604" s="8"/>
      <c r="H604" s="48"/>
      <c r="I604" s="49"/>
      <c r="M604" s="45"/>
      <c r="N604" s="45"/>
      <c r="O604" s="45"/>
      <c r="P604" s="8"/>
      <c r="Q604" s="8"/>
    </row>
    <row r="605" ht="12.75">
      <c r="E605" s="8"/>
      <c r="F605" s="8"/>
      <c r="G605" s="8"/>
      <c r="H605" s="48"/>
      <c r="I605" s="49"/>
      <c r="M605" s="45"/>
      <c r="N605" s="45"/>
      <c r="O605" s="45"/>
      <c r="P605" s="8"/>
      <c r="Q605" s="8"/>
    </row>
    <row r="606" ht="12.75">
      <c r="E606" s="8"/>
      <c r="F606" s="8"/>
      <c r="G606" s="8"/>
      <c r="H606" s="48"/>
      <c r="I606" s="49"/>
      <c r="M606" s="45"/>
      <c r="N606" s="45"/>
      <c r="O606" s="45"/>
      <c r="P606" s="8"/>
      <c r="Q606" s="8"/>
    </row>
    <row r="607" ht="12.75">
      <c r="E607" s="8"/>
      <c r="F607" s="8"/>
      <c r="G607" s="8"/>
      <c r="H607" s="48"/>
      <c r="I607" s="49"/>
      <c r="M607" s="45"/>
      <c r="N607" s="45"/>
      <c r="O607" s="45"/>
      <c r="P607" s="8"/>
      <c r="Q607" s="8"/>
    </row>
    <row r="608" ht="12.75">
      <c r="E608" s="8"/>
      <c r="F608" s="8"/>
      <c r="G608" s="8"/>
      <c r="H608" s="48"/>
      <c r="I608" s="49"/>
      <c r="M608" s="45"/>
      <c r="N608" s="45"/>
      <c r="O608" s="45"/>
      <c r="P608" s="8"/>
      <c r="Q608" s="8"/>
    </row>
    <row r="609" ht="12.75">
      <c r="E609" s="8"/>
      <c r="F609" s="8"/>
      <c r="G609" s="8"/>
      <c r="H609" s="48"/>
      <c r="I609" s="49"/>
      <c r="M609" s="45"/>
      <c r="N609" s="45"/>
      <c r="O609" s="45"/>
      <c r="P609" s="8"/>
      <c r="Q609" s="8"/>
    </row>
    <row r="610" ht="12.75">
      <c r="E610" s="8"/>
      <c r="F610" s="8"/>
      <c r="G610" s="8"/>
      <c r="H610" s="48"/>
      <c r="I610" s="49"/>
      <c r="M610" s="45"/>
      <c r="N610" s="45"/>
      <c r="O610" s="45"/>
      <c r="P610" s="8"/>
      <c r="Q610" s="8"/>
    </row>
    <row r="611" ht="12.75">
      <c r="E611" s="8"/>
      <c r="F611" s="8"/>
      <c r="G611" s="8"/>
      <c r="H611" s="48"/>
      <c r="I611" s="49"/>
      <c r="M611" s="45"/>
      <c r="N611" s="45"/>
      <c r="O611" s="45"/>
      <c r="P611" s="8"/>
      <c r="Q611" s="8"/>
    </row>
    <row r="612" ht="12.75">
      <c r="E612" s="8"/>
      <c r="F612" s="8"/>
      <c r="G612" s="8"/>
      <c r="H612" s="48"/>
      <c r="I612" s="49"/>
      <c r="M612" s="45"/>
      <c r="N612" s="45"/>
      <c r="O612" s="45"/>
      <c r="P612" s="8"/>
      <c r="Q612" s="8"/>
    </row>
    <row r="613" ht="12.75">
      <c r="E613" s="8"/>
      <c r="F613" s="8"/>
      <c r="G613" s="8"/>
      <c r="H613" s="48"/>
      <c r="I613" s="49"/>
      <c r="M613" s="45"/>
      <c r="N613" s="45"/>
      <c r="O613" s="45"/>
      <c r="P613" s="8"/>
      <c r="Q613" s="8"/>
    </row>
    <row r="614" ht="12.75">
      <c r="E614" s="8"/>
      <c r="F614" s="8"/>
      <c r="G614" s="8"/>
      <c r="H614" s="48"/>
      <c r="I614" s="49"/>
      <c r="M614" s="45"/>
      <c r="N614" s="45"/>
      <c r="O614" s="45"/>
      <c r="P614" s="8"/>
      <c r="Q614" s="8"/>
    </row>
    <row r="615" ht="12.75">
      <c r="E615" s="8"/>
      <c r="F615" s="8"/>
      <c r="G615" s="8"/>
      <c r="H615" s="48"/>
      <c r="I615" s="49"/>
      <c r="M615" s="45"/>
      <c r="N615" s="45"/>
      <c r="O615" s="45"/>
      <c r="P615" s="8"/>
      <c r="Q615" s="8"/>
    </row>
    <row r="616" ht="12.75">
      <c r="E616" s="8"/>
      <c r="F616" s="8"/>
      <c r="G616" s="8"/>
      <c r="H616" s="48"/>
      <c r="I616" s="49"/>
      <c r="M616" s="45"/>
      <c r="N616" s="45"/>
      <c r="O616" s="45"/>
      <c r="P616" s="8"/>
      <c r="Q616" s="8"/>
    </row>
    <row r="617" ht="12.75">
      <c r="E617" s="8"/>
      <c r="F617" s="8"/>
      <c r="G617" s="8"/>
      <c r="H617" s="48"/>
      <c r="I617" s="49"/>
      <c r="M617" s="45"/>
      <c r="N617" s="45"/>
      <c r="O617" s="45"/>
      <c r="P617" s="8"/>
      <c r="Q617" s="8"/>
    </row>
    <row r="618" ht="12.75">
      <c r="E618" s="8"/>
      <c r="F618" s="8"/>
      <c r="G618" s="8"/>
      <c r="H618" s="48"/>
      <c r="I618" s="49"/>
      <c r="M618" s="45"/>
      <c r="N618" s="45"/>
      <c r="O618" s="45"/>
      <c r="P618" s="8"/>
      <c r="Q618" s="8"/>
    </row>
    <row r="619" ht="12.75">
      <c r="E619" s="8"/>
      <c r="F619" s="8"/>
      <c r="G619" s="8"/>
      <c r="H619" s="48"/>
      <c r="I619" s="49"/>
      <c r="M619" s="45"/>
      <c r="N619" s="45"/>
      <c r="O619" s="45"/>
      <c r="P619" s="8"/>
      <c r="Q619" s="8"/>
    </row>
    <row r="620" ht="12.75">
      <c r="E620" s="8"/>
      <c r="F620" s="8"/>
      <c r="G620" s="8"/>
      <c r="H620" s="48"/>
      <c r="I620" s="49"/>
      <c r="M620" s="45"/>
      <c r="N620" s="45"/>
      <c r="O620" s="45"/>
      <c r="P620" s="8"/>
      <c r="Q620" s="8"/>
    </row>
    <row r="621" ht="12.75">
      <c r="E621" s="8"/>
      <c r="F621" s="8"/>
      <c r="G621" s="8"/>
      <c r="H621" s="48"/>
      <c r="I621" s="49"/>
      <c r="M621" s="45"/>
      <c r="N621" s="45"/>
      <c r="O621" s="45"/>
      <c r="P621" s="8"/>
      <c r="Q621" s="8"/>
    </row>
    <row r="622" ht="12.75">
      <c r="E622" s="8"/>
      <c r="F622" s="8"/>
      <c r="G622" s="8"/>
      <c r="H622" s="48"/>
      <c r="I622" s="49"/>
      <c r="M622" s="45"/>
      <c r="N622" s="45"/>
      <c r="O622" s="45"/>
      <c r="P622" s="8"/>
      <c r="Q622" s="8"/>
    </row>
    <row r="623" ht="12.75">
      <c r="E623" s="8"/>
      <c r="F623" s="8"/>
      <c r="G623" s="8"/>
      <c r="H623" s="48"/>
      <c r="I623" s="49"/>
      <c r="M623" s="45"/>
      <c r="N623" s="45"/>
      <c r="O623" s="45"/>
      <c r="P623" s="8"/>
      <c r="Q623" s="8"/>
    </row>
    <row r="624" ht="12.75">
      <c r="E624" s="8"/>
      <c r="F624" s="8"/>
      <c r="G624" s="8"/>
      <c r="H624" s="48"/>
      <c r="I624" s="49"/>
      <c r="M624" s="45"/>
      <c r="N624" s="45"/>
      <c r="O624" s="45"/>
      <c r="P624" s="8"/>
      <c r="Q624" s="8"/>
    </row>
    <row r="625" ht="12.75">
      <c r="E625" s="8"/>
      <c r="F625" s="8"/>
      <c r="G625" s="8"/>
      <c r="H625" s="48"/>
      <c r="I625" s="49"/>
      <c r="M625" s="45"/>
      <c r="N625" s="45"/>
      <c r="O625" s="45"/>
      <c r="P625" s="8"/>
      <c r="Q625" s="8"/>
    </row>
    <row r="626" ht="12.75">
      <c r="E626" s="8"/>
      <c r="F626" s="8"/>
      <c r="G626" s="8"/>
      <c r="H626" s="48"/>
      <c r="I626" s="49"/>
      <c r="M626" s="45"/>
      <c r="N626" s="45"/>
      <c r="O626" s="45"/>
      <c r="P626" s="8"/>
      <c r="Q626" s="8"/>
    </row>
    <row r="627" ht="12.75">
      <c r="E627" s="8"/>
      <c r="F627" s="8"/>
      <c r="G627" s="8"/>
      <c r="H627" s="48"/>
      <c r="I627" s="49"/>
      <c r="M627" s="45"/>
      <c r="N627" s="45"/>
      <c r="O627" s="45"/>
      <c r="P627" s="8"/>
      <c r="Q627" s="8"/>
    </row>
    <row r="628" ht="12.75">
      <c r="E628" s="8"/>
      <c r="F628" s="8"/>
      <c r="G628" s="8"/>
      <c r="H628" s="48"/>
      <c r="I628" s="49"/>
      <c r="M628" s="45"/>
      <c r="N628" s="45"/>
      <c r="O628" s="45"/>
      <c r="P628" s="8"/>
      <c r="Q628" s="8"/>
    </row>
    <row r="629" ht="12.75">
      <c r="E629" s="8"/>
      <c r="F629" s="8"/>
      <c r="G629" s="8"/>
      <c r="H629" s="48"/>
      <c r="I629" s="49"/>
      <c r="M629" s="45"/>
      <c r="N629" s="45"/>
      <c r="O629" s="45"/>
      <c r="P629" s="8"/>
      <c r="Q629" s="8"/>
    </row>
    <row r="630" ht="12.75">
      <c r="E630" s="8"/>
      <c r="F630" s="8"/>
      <c r="G630" s="8"/>
      <c r="H630" s="48"/>
      <c r="I630" s="49"/>
      <c r="M630" s="45"/>
      <c r="N630" s="45"/>
      <c r="O630" s="45"/>
      <c r="P630" s="8"/>
      <c r="Q630" s="8"/>
    </row>
    <row r="631" ht="12.75">
      <c r="E631" s="8"/>
      <c r="F631" s="8"/>
      <c r="G631" s="8"/>
      <c r="H631" s="48"/>
      <c r="I631" s="49"/>
      <c r="M631" s="45"/>
      <c r="N631" s="45"/>
      <c r="O631" s="45"/>
      <c r="P631" s="8"/>
      <c r="Q631" s="8"/>
    </row>
    <row r="632" ht="12.75">
      <c r="E632" s="8"/>
      <c r="F632" s="8"/>
      <c r="G632" s="8"/>
      <c r="H632" s="48"/>
      <c r="I632" s="49"/>
      <c r="M632" s="45"/>
      <c r="N632" s="45"/>
      <c r="O632" s="45"/>
      <c r="P632" s="8"/>
      <c r="Q632" s="8"/>
    </row>
    <row r="633" ht="12.75">
      <c r="E633" s="8"/>
      <c r="F633" s="8"/>
      <c r="G633" s="8"/>
      <c r="H633" s="48"/>
      <c r="I633" s="49"/>
      <c r="M633" s="45"/>
      <c r="N633" s="45"/>
      <c r="O633" s="45"/>
      <c r="P633" s="8"/>
      <c r="Q633" s="8"/>
    </row>
    <row r="634" ht="12.75">
      <c r="E634" s="8"/>
      <c r="F634" s="8"/>
      <c r="G634" s="8"/>
      <c r="H634" s="48"/>
      <c r="I634" s="49"/>
      <c r="M634" s="45"/>
      <c r="N634" s="45"/>
      <c r="O634" s="45"/>
      <c r="P634" s="8"/>
      <c r="Q634" s="8"/>
    </row>
    <row r="635" ht="12.75">
      <c r="E635" s="8"/>
      <c r="F635" s="8"/>
      <c r="G635" s="8"/>
      <c r="H635" s="48"/>
      <c r="I635" s="49"/>
      <c r="M635" s="45"/>
      <c r="N635" s="45"/>
      <c r="O635" s="45"/>
      <c r="P635" s="8"/>
      <c r="Q635" s="8"/>
    </row>
    <row r="636" ht="12.75">
      <c r="E636" s="8"/>
      <c r="F636" s="8"/>
      <c r="G636" s="8"/>
      <c r="H636" s="48"/>
      <c r="I636" s="49"/>
      <c r="M636" s="45"/>
      <c r="N636" s="45"/>
      <c r="O636" s="45"/>
      <c r="P636" s="8"/>
      <c r="Q636" s="8"/>
    </row>
    <row r="637" ht="12.75">
      <c r="E637" s="8"/>
      <c r="F637" s="8"/>
      <c r="G637" s="8"/>
      <c r="H637" s="48"/>
      <c r="I637" s="49"/>
      <c r="M637" s="45"/>
      <c r="N637" s="45"/>
      <c r="O637" s="45"/>
      <c r="P637" s="8"/>
      <c r="Q637" s="8"/>
    </row>
    <row r="638" ht="12.75">
      <c r="E638" s="8"/>
      <c r="F638" s="8"/>
      <c r="G638" s="8"/>
      <c r="H638" s="48"/>
      <c r="I638" s="49"/>
      <c r="M638" s="45"/>
      <c r="N638" s="45"/>
      <c r="O638" s="45"/>
      <c r="P638" s="8"/>
      <c r="Q638" s="8"/>
    </row>
    <row r="639" ht="12.75">
      <c r="E639" s="8"/>
      <c r="F639" s="8"/>
      <c r="G639" s="8"/>
      <c r="H639" s="48"/>
      <c r="I639" s="49"/>
      <c r="M639" s="45"/>
      <c r="N639" s="45"/>
      <c r="O639" s="45"/>
      <c r="P639" s="8"/>
      <c r="Q639" s="8"/>
    </row>
    <row r="640" ht="12.75">
      <c r="E640" s="8"/>
      <c r="F640" s="8"/>
      <c r="G640" s="8"/>
      <c r="H640" s="48"/>
      <c r="I640" s="49"/>
      <c r="M640" s="45"/>
      <c r="N640" s="45"/>
      <c r="O640" s="45"/>
      <c r="P640" s="8"/>
      <c r="Q640" s="8"/>
    </row>
    <row r="641" ht="12.75">
      <c r="E641" s="8"/>
      <c r="F641" s="8"/>
      <c r="G641" s="8"/>
      <c r="H641" s="48"/>
      <c r="I641" s="49"/>
      <c r="M641" s="45"/>
      <c r="N641" s="45"/>
      <c r="O641" s="45"/>
      <c r="P641" s="8"/>
      <c r="Q641" s="8"/>
    </row>
    <row r="642" ht="12.75">
      <c r="E642" s="8"/>
      <c r="F642" s="8"/>
      <c r="G642" s="8"/>
      <c r="H642" s="48"/>
      <c r="I642" s="49"/>
      <c r="M642" s="45"/>
      <c r="N642" s="45"/>
      <c r="O642" s="45"/>
      <c r="P642" s="8"/>
      <c r="Q642" s="8"/>
    </row>
    <row r="643" ht="12.75">
      <c r="E643" s="8"/>
      <c r="F643" s="8"/>
      <c r="G643" s="8"/>
      <c r="H643" s="48"/>
      <c r="I643" s="49"/>
      <c r="M643" s="45"/>
      <c r="N643" s="45"/>
      <c r="O643" s="45"/>
      <c r="P643" s="8"/>
      <c r="Q643" s="8"/>
    </row>
    <row r="644" ht="12.75">
      <c r="E644" s="8"/>
      <c r="F644" s="8"/>
      <c r="G644" s="8"/>
      <c r="H644" s="48"/>
      <c r="I644" s="49"/>
      <c r="M644" s="45"/>
      <c r="N644" s="45"/>
      <c r="O644" s="45"/>
      <c r="P644" s="8"/>
      <c r="Q644" s="8"/>
    </row>
    <row r="645" ht="12.75">
      <c r="E645" s="8"/>
      <c r="F645" s="8"/>
      <c r="G645" s="8"/>
      <c r="H645" s="48"/>
      <c r="I645" s="49"/>
      <c r="M645" s="45"/>
      <c r="N645" s="45"/>
      <c r="O645" s="45"/>
      <c r="P645" s="8"/>
      <c r="Q645" s="8"/>
    </row>
    <row r="646" ht="12.75">
      <c r="E646" s="8"/>
      <c r="F646" s="8"/>
      <c r="G646" s="8"/>
      <c r="H646" s="48"/>
      <c r="I646" s="49"/>
      <c r="M646" s="45"/>
      <c r="N646" s="45"/>
      <c r="O646" s="45"/>
      <c r="P646" s="8"/>
      <c r="Q646" s="8"/>
    </row>
    <row r="647" ht="12.75">
      <c r="E647" s="8"/>
      <c r="F647" s="8"/>
      <c r="G647" s="8"/>
      <c r="H647" s="48"/>
      <c r="I647" s="49"/>
      <c r="M647" s="45"/>
      <c r="N647" s="45"/>
      <c r="O647" s="45"/>
      <c r="P647" s="8"/>
      <c r="Q647" s="8"/>
    </row>
    <row r="648" ht="12.75">
      <c r="E648" s="8"/>
      <c r="F648" s="8"/>
      <c r="G648" s="8"/>
      <c r="H648" s="48"/>
      <c r="I648" s="49"/>
      <c r="M648" s="45"/>
      <c r="N648" s="45"/>
      <c r="O648" s="45"/>
      <c r="P648" s="8"/>
      <c r="Q648" s="8"/>
    </row>
    <row r="649" ht="12.75">
      <c r="E649" s="8"/>
      <c r="F649" s="8"/>
      <c r="G649" s="8"/>
      <c r="H649" s="48"/>
      <c r="I649" s="49"/>
      <c r="M649" s="45"/>
      <c r="N649" s="45"/>
      <c r="O649" s="45"/>
      <c r="P649" s="8"/>
      <c r="Q649" s="8"/>
    </row>
    <row r="650" ht="12.75">
      <c r="E650" s="8"/>
      <c r="F650" s="8"/>
      <c r="G650" s="8"/>
      <c r="H650" s="48"/>
      <c r="I650" s="49"/>
      <c r="M650" s="45"/>
      <c r="N650" s="45"/>
      <c r="O650" s="45"/>
      <c r="P650" s="8"/>
      <c r="Q650" s="8"/>
    </row>
    <row r="651" ht="12.75">
      <c r="E651" s="8"/>
      <c r="F651" s="8"/>
      <c r="G651" s="8"/>
      <c r="H651" s="48"/>
      <c r="I651" s="49"/>
      <c r="M651" s="45"/>
      <c r="N651" s="45"/>
      <c r="O651" s="45"/>
      <c r="P651" s="8"/>
      <c r="Q651" s="8"/>
    </row>
    <row r="652" ht="12.75">
      <c r="E652" s="8"/>
      <c r="F652" s="8"/>
      <c r="G652" s="8"/>
      <c r="H652" s="48"/>
      <c r="I652" s="49"/>
      <c r="M652" s="45"/>
      <c r="N652" s="45"/>
      <c r="O652" s="45"/>
      <c r="P652" s="8"/>
      <c r="Q652" s="8"/>
    </row>
    <row r="653" ht="12.75">
      <c r="E653" s="8"/>
      <c r="F653" s="8"/>
      <c r="G653" s="8"/>
      <c r="H653" s="48"/>
      <c r="I653" s="49"/>
      <c r="M653" s="45"/>
      <c r="N653" s="45"/>
      <c r="O653" s="45"/>
      <c r="P653" s="8"/>
      <c r="Q653" s="8"/>
    </row>
    <row r="654" ht="12.75">
      <c r="E654" s="8"/>
      <c r="F654" s="8"/>
      <c r="G654" s="8"/>
      <c r="H654" s="48"/>
      <c r="I654" s="49"/>
      <c r="M654" s="45"/>
      <c r="N654" s="45"/>
      <c r="O654" s="45"/>
      <c r="P654" s="8"/>
      <c r="Q654" s="8"/>
    </row>
    <row r="655" ht="12.75">
      <c r="E655" s="8"/>
      <c r="F655" s="8"/>
      <c r="G655" s="8"/>
      <c r="H655" s="48"/>
      <c r="I655" s="49"/>
      <c r="M655" s="45"/>
      <c r="N655" s="45"/>
      <c r="O655" s="45"/>
      <c r="P655" s="8"/>
      <c r="Q655" s="8"/>
    </row>
    <row r="656" ht="12.75">
      <c r="E656" s="8"/>
      <c r="F656" s="8"/>
      <c r="G656" s="8"/>
      <c r="H656" s="48"/>
      <c r="I656" s="49"/>
      <c r="M656" s="45"/>
      <c r="N656" s="45"/>
      <c r="O656" s="45"/>
      <c r="P656" s="8"/>
      <c r="Q656" s="8"/>
    </row>
    <row r="657" ht="12.75">
      <c r="E657" s="8"/>
      <c r="F657" s="8"/>
      <c r="G657" s="8"/>
      <c r="H657" s="48"/>
      <c r="I657" s="49"/>
      <c r="M657" s="45"/>
      <c r="N657" s="45"/>
      <c r="O657" s="45"/>
      <c r="P657" s="8"/>
      <c r="Q657" s="8"/>
    </row>
    <row r="658" ht="12.75">
      <c r="E658" s="8"/>
      <c r="F658" s="8"/>
      <c r="G658" s="8"/>
      <c r="H658" s="48"/>
      <c r="I658" s="49"/>
      <c r="M658" s="45"/>
      <c r="N658" s="45"/>
      <c r="O658" s="45"/>
      <c r="P658" s="8"/>
      <c r="Q658" s="8"/>
    </row>
    <row r="659" ht="12.75">
      <c r="E659" s="8"/>
      <c r="F659" s="8"/>
      <c r="G659" s="8"/>
      <c r="H659" s="48"/>
      <c r="I659" s="49"/>
      <c r="M659" s="45"/>
      <c r="N659" s="45"/>
      <c r="O659" s="45"/>
      <c r="P659" s="8"/>
      <c r="Q659" s="8"/>
    </row>
    <row r="660" ht="12.75">
      <c r="E660" s="8"/>
      <c r="F660" s="8"/>
      <c r="G660" s="8"/>
      <c r="H660" s="48"/>
      <c r="I660" s="49"/>
      <c r="M660" s="45"/>
      <c r="N660" s="45"/>
      <c r="O660" s="45"/>
      <c r="P660" s="8"/>
      <c r="Q660" s="8"/>
    </row>
    <row r="661" ht="12.75">
      <c r="E661" s="8"/>
      <c r="F661" s="8"/>
      <c r="G661" s="8"/>
      <c r="H661" s="48"/>
      <c r="I661" s="49"/>
      <c r="M661" s="45"/>
      <c r="N661" s="45"/>
      <c r="O661" s="45"/>
      <c r="P661" s="8"/>
      <c r="Q661" s="8"/>
    </row>
    <row r="662" ht="12.75">
      <c r="E662" s="8"/>
      <c r="F662" s="8"/>
      <c r="G662" s="8"/>
      <c r="H662" s="48"/>
      <c r="I662" s="49"/>
      <c r="M662" s="45"/>
      <c r="N662" s="45"/>
      <c r="O662" s="45"/>
      <c r="P662" s="8"/>
      <c r="Q662" s="8"/>
    </row>
    <row r="663" ht="12.75">
      <c r="E663" s="8"/>
      <c r="F663" s="8"/>
      <c r="G663" s="8"/>
      <c r="H663" s="48"/>
      <c r="I663" s="49"/>
      <c r="M663" s="45"/>
      <c r="N663" s="45"/>
      <c r="O663" s="45"/>
      <c r="P663" s="8"/>
      <c r="Q663" s="8"/>
    </row>
    <row r="664" ht="12.75">
      <c r="E664" s="8"/>
      <c r="F664" s="8"/>
      <c r="G664" s="8"/>
      <c r="H664" s="48"/>
      <c r="I664" s="49"/>
      <c r="M664" s="45"/>
      <c r="N664" s="45"/>
      <c r="O664" s="45"/>
      <c r="P664" s="8"/>
      <c r="Q664" s="8"/>
    </row>
    <row r="665" ht="12.75">
      <c r="E665" s="8"/>
      <c r="F665" s="8"/>
      <c r="G665" s="8"/>
      <c r="H665" s="48"/>
      <c r="I665" s="49"/>
      <c r="M665" s="45"/>
      <c r="N665" s="45"/>
      <c r="O665" s="45"/>
      <c r="P665" s="8"/>
      <c r="Q665" s="8"/>
    </row>
    <row r="666" ht="12.75">
      <c r="E666" s="8"/>
      <c r="F666" s="8"/>
      <c r="G666" s="8"/>
      <c r="H666" s="48"/>
      <c r="I666" s="49"/>
      <c r="M666" s="45"/>
      <c r="N666" s="45"/>
      <c r="O666" s="45"/>
      <c r="P666" s="8"/>
      <c r="Q666" s="8"/>
    </row>
    <row r="667" ht="12.75">
      <c r="E667" s="8"/>
      <c r="F667" s="8"/>
      <c r="G667" s="8"/>
      <c r="H667" s="48"/>
      <c r="I667" s="49"/>
      <c r="M667" s="45"/>
      <c r="N667" s="45"/>
      <c r="O667" s="45"/>
      <c r="P667" s="8"/>
      <c r="Q667" s="8"/>
    </row>
    <row r="668" ht="12.75">
      <c r="E668" s="8"/>
      <c r="F668" s="8"/>
      <c r="G668" s="8"/>
      <c r="H668" s="48"/>
      <c r="I668" s="49"/>
      <c r="M668" s="45"/>
      <c r="N668" s="45"/>
      <c r="O668" s="45"/>
      <c r="P668" s="8"/>
      <c r="Q668" s="8"/>
    </row>
    <row r="669" ht="12.75">
      <c r="E669" s="8"/>
      <c r="F669" s="8"/>
      <c r="G669" s="8"/>
      <c r="H669" s="48"/>
      <c r="I669" s="49"/>
      <c r="M669" s="45"/>
      <c r="N669" s="45"/>
      <c r="O669" s="45"/>
      <c r="P669" s="8"/>
      <c r="Q669" s="8"/>
    </row>
    <row r="670" ht="12.75">
      <c r="E670" s="8"/>
      <c r="F670" s="8"/>
      <c r="G670" s="8"/>
      <c r="H670" s="48"/>
      <c r="I670" s="49"/>
      <c r="M670" s="45"/>
      <c r="N670" s="45"/>
      <c r="O670" s="45"/>
      <c r="P670" s="8"/>
      <c r="Q670" s="8"/>
    </row>
    <row r="671" ht="12.75">
      <c r="E671" s="8"/>
      <c r="F671" s="8"/>
      <c r="G671" s="8"/>
      <c r="H671" s="48"/>
      <c r="I671" s="49"/>
      <c r="M671" s="45"/>
      <c r="N671" s="45"/>
      <c r="O671" s="45"/>
      <c r="P671" s="8"/>
      <c r="Q671" s="8"/>
    </row>
    <row r="672" ht="12.75">
      <c r="E672" s="8"/>
      <c r="F672" s="8"/>
      <c r="G672" s="8"/>
      <c r="H672" s="48"/>
      <c r="I672" s="49"/>
      <c r="M672" s="45"/>
      <c r="N672" s="45"/>
      <c r="O672" s="45"/>
      <c r="P672" s="8"/>
      <c r="Q672" s="8"/>
    </row>
    <row r="673" ht="12.75">
      <c r="E673" s="8"/>
      <c r="F673" s="8"/>
      <c r="G673" s="8"/>
      <c r="H673" s="48"/>
      <c r="I673" s="49"/>
      <c r="M673" s="45"/>
      <c r="N673" s="45"/>
      <c r="O673" s="45"/>
      <c r="P673" s="8"/>
      <c r="Q673" s="8"/>
    </row>
    <row r="674" ht="12.75">
      <c r="E674" s="8"/>
      <c r="F674" s="8"/>
      <c r="G674" s="8"/>
      <c r="H674" s="48"/>
      <c r="I674" s="49"/>
      <c r="M674" s="45"/>
      <c r="N674" s="45"/>
      <c r="O674" s="45"/>
      <c r="P674" s="8"/>
      <c r="Q674" s="8"/>
    </row>
    <row r="675" ht="12.75">
      <c r="E675" s="8"/>
      <c r="F675" s="8"/>
      <c r="G675" s="8"/>
      <c r="H675" s="48"/>
      <c r="I675" s="49"/>
      <c r="M675" s="45"/>
      <c r="N675" s="45"/>
      <c r="O675" s="45"/>
      <c r="P675" s="8"/>
      <c r="Q675" s="8"/>
    </row>
    <row r="676" ht="12.75">
      <c r="E676" s="8"/>
      <c r="F676" s="8"/>
      <c r="G676" s="8"/>
      <c r="H676" s="48"/>
      <c r="I676" s="49"/>
      <c r="M676" s="45"/>
      <c r="N676" s="45"/>
      <c r="O676" s="45"/>
      <c r="P676" s="8"/>
      <c r="Q676" s="8"/>
    </row>
    <row r="677" ht="12.75">
      <c r="E677" s="8"/>
      <c r="F677" s="8"/>
      <c r="G677" s="8"/>
      <c r="H677" s="48"/>
      <c r="I677" s="49"/>
      <c r="M677" s="45"/>
      <c r="N677" s="45"/>
      <c r="O677" s="45"/>
      <c r="P677" s="8"/>
      <c r="Q677" s="8"/>
    </row>
    <row r="678" ht="12.75">
      <c r="E678" s="8"/>
      <c r="F678" s="8"/>
      <c r="G678" s="8"/>
      <c r="H678" s="48"/>
      <c r="I678" s="49"/>
      <c r="M678" s="45"/>
      <c r="N678" s="45"/>
      <c r="O678" s="45"/>
      <c r="P678" s="8"/>
      <c r="Q678" s="8"/>
    </row>
    <row r="679" ht="12.75">
      <c r="E679" s="8"/>
      <c r="F679" s="8"/>
      <c r="G679" s="8"/>
      <c r="H679" s="48"/>
      <c r="I679" s="49"/>
      <c r="M679" s="45"/>
      <c r="N679" s="45"/>
      <c r="O679" s="45"/>
      <c r="P679" s="8"/>
      <c r="Q679" s="8"/>
    </row>
    <row r="680" ht="12.75">
      <c r="E680" s="8"/>
      <c r="F680" s="8"/>
      <c r="G680" s="8"/>
      <c r="H680" s="48"/>
      <c r="I680" s="49"/>
      <c r="M680" s="45"/>
      <c r="N680" s="45"/>
      <c r="O680" s="45"/>
      <c r="P680" s="8"/>
      <c r="Q680" s="8"/>
    </row>
    <row r="681" ht="12.75">
      <c r="E681" s="8"/>
      <c r="F681" s="8"/>
      <c r="G681" s="8"/>
      <c r="H681" s="48"/>
      <c r="I681" s="49"/>
      <c r="M681" s="45"/>
      <c r="N681" s="45"/>
      <c r="O681" s="45"/>
      <c r="P681" s="8"/>
      <c r="Q681" s="8"/>
    </row>
    <row r="682" ht="12.75">
      <c r="E682" s="8"/>
      <c r="F682" s="8"/>
      <c r="G682" s="8"/>
      <c r="H682" s="48"/>
      <c r="I682" s="49"/>
      <c r="M682" s="45"/>
      <c r="N682" s="45"/>
      <c r="O682" s="45"/>
      <c r="P682" s="8"/>
      <c r="Q682" s="8"/>
    </row>
    <row r="683" ht="12.75">
      <c r="E683" s="8"/>
      <c r="F683" s="8"/>
      <c r="G683" s="8"/>
      <c r="H683" s="48"/>
      <c r="I683" s="49"/>
      <c r="M683" s="45"/>
      <c r="N683" s="45"/>
      <c r="O683" s="45"/>
      <c r="P683" s="8"/>
      <c r="Q683" s="8"/>
    </row>
    <row r="684" ht="12.75">
      <c r="E684" s="8"/>
      <c r="F684" s="8"/>
      <c r="G684" s="8"/>
      <c r="H684" s="48"/>
      <c r="I684" s="49"/>
      <c r="M684" s="45"/>
      <c r="N684" s="45"/>
      <c r="O684" s="45"/>
      <c r="P684" s="8"/>
      <c r="Q684" s="8"/>
    </row>
    <row r="685" ht="12.75">
      <c r="E685" s="8"/>
      <c r="F685" s="8"/>
      <c r="G685" s="8"/>
      <c r="H685" s="48"/>
      <c r="I685" s="49"/>
      <c r="M685" s="45"/>
      <c r="N685" s="45"/>
      <c r="O685" s="45"/>
      <c r="P685" s="8"/>
      <c r="Q685" s="8"/>
    </row>
    <row r="686" ht="12.75">
      <c r="E686" s="8"/>
      <c r="F686" s="8"/>
      <c r="G686" s="8"/>
      <c r="H686" s="48"/>
      <c r="I686" s="49"/>
      <c r="M686" s="45"/>
      <c r="N686" s="45"/>
      <c r="O686" s="45"/>
      <c r="P686" s="8"/>
      <c r="Q686" s="8"/>
    </row>
    <row r="687" ht="12.75">
      <c r="E687" s="8"/>
      <c r="F687" s="8"/>
      <c r="G687" s="8"/>
      <c r="H687" s="48"/>
      <c r="I687" s="49"/>
      <c r="M687" s="45"/>
      <c r="N687" s="45"/>
      <c r="O687" s="45"/>
      <c r="P687" s="8"/>
      <c r="Q687" s="8"/>
    </row>
    <row r="688" ht="12.75">
      <c r="E688" s="8"/>
      <c r="F688" s="8"/>
      <c r="G688" s="8"/>
      <c r="H688" s="48"/>
      <c r="I688" s="49"/>
      <c r="M688" s="45"/>
      <c r="N688" s="45"/>
      <c r="O688" s="45"/>
      <c r="P688" s="8"/>
      <c r="Q688" s="8"/>
    </row>
    <row r="689" ht="12.75">
      <c r="E689" s="8"/>
      <c r="F689" s="8"/>
      <c r="G689" s="8"/>
      <c r="H689" s="48"/>
      <c r="I689" s="49"/>
      <c r="M689" s="45"/>
      <c r="N689" s="45"/>
      <c r="O689" s="45"/>
      <c r="P689" s="8"/>
      <c r="Q689" s="8"/>
    </row>
    <row r="690" ht="12.75">
      <c r="E690" s="8"/>
      <c r="F690" s="8"/>
      <c r="G690" s="8"/>
      <c r="H690" s="48"/>
      <c r="I690" s="49"/>
      <c r="M690" s="45"/>
      <c r="N690" s="45"/>
      <c r="O690" s="45"/>
      <c r="P690" s="8"/>
      <c r="Q690" s="8"/>
    </row>
    <row r="691" ht="12.75">
      <c r="E691" s="8"/>
      <c r="F691" s="8"/>
      <c r="G691" s="8"/>
      <c r="H691" s="48"/>
      <c r="I691" s="49"/>
      <c r="M691" s="45"/>
      <c r="N691" s="45"/>
      <c r="O691" s="45"/>
      <c r="P691" s="8"/>
      <c r="Q691" s="8"/>
    </row>
    <row r="692" ht="12.75">
      <c r="E692" s="8"/>
      <c r="F692" s="8"/>
      <c r="G692" s="8"/>
      <c r="H692" s="48"/>
      <c r="I692" s="49"/>
      <c r="M692" s="45"/>
      <c r="N692" s="45"/>
      <c r="O692" s="45"/>
      <c r="P692" s="8"/>
      <c r="Q692" s="8"/>
    </row>
    <row r="693" ht="12.75">
      <c r="E693" s="8"/>
      <c r="F693" s="8"/>
      <c r="G693" s="8"/>
      <c r="H693" s="48"/>
      <c r="I693" s="49"/>
      <c r="M693" s="45"/>
      <c r="N693" s="45"/>
      <c r="O693" s="45"/>
      <c r="P693" s="8"/>
      <c r="Q693" s="8"/>
    </row>
    <row r="694" ht="12.75">
      <c r="E694" s="8"/>
      <c r="F694" s="8"/>
      <c r="G694" s="8"/>
      <c r="H694" s="48"/>
      <c r="I694" s="49"/>
      <c r="M694" s="45"/>
      <c r="N694" s="45"/>
      <c r="O694" s="45"/>
      <c r="P694" s="8"/>
      <c r="Q694" s="8"/>
    </row>
    <row r="695" ht="12.75">
      <c r="E695" s="8"/>
      <c r="F695" s="8"/>
      <c r="G695" s="8"/>
      <c r="H695" s="48"/>
      <c r="I695" s="49"/>
      <c r="M695" s="45"/>
      <c r="N695" s="45"/>
      <c r="O695" s="45"/>
      <c r="P695" s="8"/>
      <c r="Q695" s="8"/>
    </row>
    <row r="696" ht="12.75">
      <c r="E696" s="8"/>
      <c r="F696" s="8"/>
      <c r="G696" s="8"/>
      <c r="H696" s="48"/>
      <c r="I696" s="49"/>
      <c r="M696" s="45"/>
      <c r="N696" s="45"/>
      <c r="O696" s="45"/>
      <c r="P696" s="8"/>
      <c r="Q696" s="8"/>
    </row>
    <row r="697" ht="12.75">
      <c r="E697" s="8"/>
      <c r="F697" s="8"/>
      <c r="G697" s="8"/>
      <c r="H697" s="48"/>
      <c r="I697" s="49"/>
      <c r="M697" s="45"/>
      <c r="N697" s="45"/>
      <c r="O697" s="45"/>
      <c r="P697" s="8"/>
      <c r="Q697" s="8"/>
    </row>
    <row r="698" ht="12.75">
      <c r="E698" s="8"/>
      <c r="F698" s="8"/>
      <c r="G698" s="8"/>
      <c r="H698" s="48"/>
      <c r="I698" s="49"/>
      <c r="M698" s="45"/>
      <c r="N698" s="45"/>
      <c r="O698" s="45"/>
      <c r="P698" s="8"/>
      <c r="Q698" s="8"/>
    </row>
    <row r="699" ht="12.75">
      <c r="E699" s="8"/>
      <c r="F699" s="8"/>
      <c r="G699" s="8"/>
      <c r="H699" s="48"/>
      <c r="I699" s="49"/>
      <c r="M699" s="45"/>
      <c r="N699" s="45"/>
      <c r="O699" s="45"/>
      <c r="P699" s="8"/>
      <c r="Q699" s="8"/>
    </row>
    <row r="700" ht="12.75">
      <c r="E700" s="8"/>
      <c r="F700" s="8"/>
      <c r="G700" s="8"/>
      <c r="H700" s="48"/>
      <c r="I700" s="49"/>
      <c r="M700" s="45"/>
      <c r="N700" s="45"/>
      <c r="O700" s="45"/>
      <c r="P700" s="8"/>
      <c r="Q700" s="8"/>
    </row>
    <row r="701" ht="12.75">
      <c r="E701" s="8"/>
      <c r="F701" s="8"/>
      <c r="G701" s="8"/>
      <c r="H701" s="48"/>
      <c r="I701" s="49"/>
      <c r="M701" s="45"/>
      <c r="N701" s="45"/>
      <c r="O701" s="45"/>
      <c r="P701" s="8"/>
      <c r="Q701" s="8"/>
    </row>
    <row r="702" ht="12.75">
      <c r="E702" s="8"/>
      <c r="F702" s="8"/>
      <c r="G702" s="8"/>
      <c r="H702" s="48"/>
      <c r="I702" s="49"/>
      <c r="M702" s="45"/>
      <c r="N702" s="45"/>
      <c r="O702" s="45"/>
      <c r="P702" s="8"/>
      <c r="Q702" s="8"/>
    </row>
    <row r="703" ht="12.75">
      <c r="E703" s="8"/>
      <c r="F703" s="8"/>
      <c r="G703" s="8"/>
      <c r="H703" s="48"/>
      <c r="I703" s="49"/>
      <c r="M703" s="45"/>
      <c r="N703" s="45"/>
      <c r="O703" s="45"/>
      <c r="P703" s="8"/>
      <c r="Q703" s="8"/>
    </row>
    <row r="704" ht="12.75">
      <c r="E704" s="8"/>
      <c r="F704" s="8"/>
      <c r="G704" s="8"/>
      <c r="H704" s="48"/>
      <c r="I704" s="49"/>
      <c r="M704" s="45"/>
      <c r="N704" s="45"/>
      <c r="O704" s="45"/>
      <c r="P704" s="8"/>
      <c r="Q704" s="8"/>
    </row>
    <row r="705" ht="12.75">
      <c r="E705" s="8"/>
      <c r="F705" s="8"/>
      <c r="G705" s="8"/>
      <c r="H705" s="48"/>
      <c r="I705" s="49"/>
      <c r="M705" s="45"/>
      <c r="N705" s="45"/>
      <c r="O705" s="45"/>
      <c r="P705" s="8"/>
      <c r="Q705" s="8"/>
    </row>
    <row r="706" ht="12.75">
      <c r="E706" s="8"/>
      <c r="F706" s="8"/>
      <c r="G706" s="8"/>
      <c r="H706" s="48"/>
      <c r="I706" s="49"/>
      <c r="M706" s="45"/>
      <c r="N706" s="45"/>
      <c r="O706" s="45"/>
      <c r="P706" s="8"/>
      <c r="Q706" s="8"/>
    </row>
    <row r="707" ht="12.75">
      <c r="E707" s="8"/>
      <c r="F707" s="8"/>
      <c r="G707" s="8"/>
      <c r="H707" s="48"/>
      <c r="I707" s="49"/>
      <c r="M707" s="45"/>
      <c r="N707" s="45"/>
      <c r="O707" s="45"/>
      <c r="P707" s="8"/>
      <c r="Q707" s="8"/>
    </row>
    <row r="708" ht="12.75">
      <c r="E708" s="8"/>
      <c r="F708" s="8"/>
      <c r="G708" s="8"/>
      <c r="H708" s="48"/>
      <c r="I708" s="49"/>
      <c r="M708" s="45"/>
      <c r="N708" s="45"/>
      <c r="O708" s="45"/>
      <c r="P708" s="8"/>
      <c r="Q708" s="8"/>
    </row>
    <row r="709" ht="12.75">
      <c r="E709" s="8"/>
      <c r="F709" s="8"/>
      <c r="G709" s="8"/>
      <c r="H709" s="48"/>
      <c r="I709" s="49"/>
      <c r="M709" s="45"/>
      <c r="N709" s="45"/>
      <c r="O709" s="45"/>
      <c r="P709" s="8"/>
      <c r="Q709" s="8"/>
    </row>
    <row r="710" ht="12.75">
      <c r="E710" s="8"/>
      <c r="F710" s="8"/>
      <c r="G710" s="8"/>
      <c r="H710" s="48"/>
      <c r="I710" s="49"/>
      <c r="M710" s="45"/>
      <c r="N710" s="45"/>
      <c r="O710" s="45"/>
      <c r="P710" s="8"/>
      <c r="Q710" s="8"/>
    </row>
    <row r="711" ht="12.75">
      <c r="E711" s="8"/>
      <c r="F711" s="8"/>
      <c r="G711" s="8"/>
      <c r="H711" s="48"/>
      <c r="I711" s="49"/>
      <c r="M711" s="45"/>
      <c r="N711" s="45"/>
      <c r="O711" s="45"/>
      <c r="P711" s="8"/>
      <c r="Q711" s="8"/>
    </row>
    <row r="712" ht="12.75">
      <c r="E712" s="8"/>
      <c r="F712" s="8"/>
      <c r="G712" s="8"/>
      <c r="H712" s="48"/>
      <c r="I712" s="49"/>
      <c r="M712" s="45"/>
      <c r="N712" s="45"/>
      <c r="O712" s="45"/>
      <c r="P712" s="8"/>
      <c r="Q712" s="8"/>
    </row>
    <row r="713" ht="12.75">
      <c r="E713" s="8"/>
      <c r="F713" s="8"/>
      <c r="G713" s="8"/>
      <c r="H713" s="48"/>
      <c r="I713" s="49"/>
      <c r="M713" s="45"/>
      <c r="N713" s="45"/>
      <c r="O713" s="45"/>
      <c r="P713" s="8"/>
      <c r="Q713" s="8"/>
    </row>
    <row r="714" ht="12.75">
      <c r="E714" s="8"/>
      <c r="F714" s="8"/>
      <c r="G714" s="8"/>
      <c r="H714" s="48"/>
      <c r="I714" s="49"/>
      <c r="M714" s="45"/>
      <c r="N714" s="45"/>
      <c r="O714" s="45"/>
      <c r="P714" s="8"/>
      <c r="Q714" s="8"/>
    </row>
    <row r="715" ht="12.75">
      <c r="E715" s="8"/>
      <c r="F715" s="8"/>
      <c r="G715" s="8"/>
      <c r="H715" s="48"/>
      <c r="I715" s="49"/>
      <c r="M715" s="45"/>
      <c r="N715" s="45"/>
      <c r="O715" s="45"/>
      <c r="P715" s="8"/>
      <c r="Q715" s="8"/>
    </row>
    <row r="716" ht="12.75">
      <c r="E716" s="8"/>
      <c r="F716" s="8"/>
      <c r="G716" s="8"/>
      <c r="H716" s="48"/>
      <c r="I716" s="49"/>
      <c r="M716" s="45"/>
      <c r="N716" s="45"/>
      <c r="O716" s="45"/>
      <c r="P716" s="8"/>
      <c r="Q716" s="8"/>
    </row>
    <row r="717" ht="12.75">
      <c r="E717" s="8"/>
      <c r="F717" s="8"/>
      <c r="G717" s="8"/>
      <c r="H717" s="48"/>
      <c r="I717" s="49"/>
      <c r="M717" s="45"/>
      <c r="N717" s="45"/>
      <c r="O717" s="45"/>
      <c r="P717" s="8"/>
      <c r="Q717" s="8"/>
    </row>
    <row r="718" ht="12.75">
      <c r="E718" s="8"/>
      <c r="F718" s="8"/>
      <c r="G718" s="8"/>
      <c r="H718" s="48"/>
      <c r="I718" s="49"/>
      <c r="M718" s="45"/>
      <c r="N718" s="45"/>
      <c r="O718" s="45"/>
      <c r="P718" s="8"/>
      <c r="Q718" s="8"/>
    </row>
    <row r="719" ht="12.75">
      <c r="E719" s="8"/>
      <c r="F719" s="8"/>
      <c r="G719" s="8"/>
      <c r="H719" s="48"/>
      <c r="I719" s="49"/>
      <c r="M719" s="45"/>
      <c r="N719" s="45"/>
      <c r="O719" s="45"/>
      <c r="P719" s="8"/>
      <c r="Q719" s="8"/>
    </row>
    <row r="720" ht="12.75">
      <c r="E720" s="8"/>
      <c r="F720" s="8"/>
      <c r="G720" s="8"/>
      <c r="H720" s="48"/>
      <c r="I720" s="49"/>
      <c r="M720" s="45"/>
      <c r="N720" s="45"/>
      <c r="O720" s="45"/>
      <c r="P720" s="8"/>
      <c r="Q720" s="8"/>
    </row>
    <row r="721" ht="12.75">
      <c r="E721" s="8"/>
      <c r="F721" s="8"/>
      <c r="G721" s="8"/>
      <c r="H721" s="48"/>
      <c r="I721" s="49"/>
      <c r="M721" s="45"/>
      <c r="N721" s="45"/>
      <c r="O721" s="45"/>
      <c r="P721" s="8"/>
      <c r="Q721" s="8"/>
    </row>
    <row r="722" ht="12.75">
      <c r="E722" s="8"/>
      <c r="F722" s="8"/>
      <c r="G722" s="8"/>
      <c r="H722" s="48"/>
      <c r="I722" s="49"/>
      <c r="M722" s="45"/>
      <c r="N722" s="45"/>
      <c r="O722" s="45"/>
      <c r="P722" s="8"/>
      <c r="Q722" s="8"/>
    </row>
    <row r="723" ht="12.75">
      <c r="E723" s="8"/>
      <c r="F723" s="8"/>
      <c r="G723" s="8"/>
      <c r="H723" s="48"/>
      <c r="I723" s="49"/>
      <c r="M723" s="45"/>
      <c r="N723" s="45"/>
      <c r="O723" s="45"/>
      <c r="P723" s="8"/>
      <c r="Q723" s="8"/>
    </row>
    <row r="724" ht="12.75">
      <c r="E724" s="8"/>
      <c r="F724" s="8"/>
      <c r="G724" s="8"/>
      <c r="H724" s="48"/>
      <c r="I724" s="49"/>
      <c r="M724" s="45"/>
      <c r="N724" s="45"/>
      <c r="O724" s="45"/>
      <c r="P724" s="8"/>
      <c r="Q724" s="8"/>
    </row>
    <row r="725" ht="12.75">
      <c r="E725" s="8"/>
      <c r="F725" s="8"/>
      <c r="G725" s="8"/>
      <c r="H725" s="48"/>
      <c r="I725" s="49"/>
      <c r="M725" s="45"/>
      <c r="N725" s="45"/>
      <c r="O725" s="45"/>
      <c r="P725" s="8"/>
      <c r="Q725" s="8"/>
    </row>
    <row r="726" ht="12.75">
      <c r="E726" s="8"/>
      <c r="F726" s="8"/>
      <c r="G726" s="8"/>
      <c r="H726" s="48"/>
      <c r="I726" s="49"/>
      <c r="M726" s="45"/>
      <c r="N726" s="45"/>
      <c r="O726" s="45"/>
      <c r="P726" s="8"/>
      <c r="Q726" s="8"/>
    </row>
    <row r="727" ht="12.75">
      <c r="E727" s="8"/>
      <c r="F727" s="8"/>
      <c r="G727" s="8"/>
      <c r="H727" s="48"/>
      <c r="I727" s="49"/>
      <c r="M727" s="45"/>
      <c r="N727" s="45"/>
      <c r="O727" s="45"/>
      <c r="P727" s="8"/>
      <c r="Q727" s="8"/>
    </row>
    <row r="728" ht="12.75">
      <c r="E728" s="8"/>
      <c r="F728" s="8"/>
      <c r="G728" s="8"/>
      <c r="H728" s="48"/>
      <c r="I728" s="49"/>
      <c r="M728" s="45"/>
      <c r="N728" s="45"/>
      <c r="O728" s="45"/>
      <c r="P728" s="8"/>
      <c r="Q728" s="8"/>
    </row>
    <row r="729" ht="12.75">
      <c r="E729" s="8"/>
      <c r="F729" s="8"/>
      <c r="G729" s="8"/>
      <c r="H729" s="48"/>
      <c r="I729" s="49"/>
      <c r="M729" s="45"/>
      <c r="N729" s="45"/>
      <c r="O729" s="45"/>
      <c r="P729" s="8"/>
      <c r="Q729" s="8"/>
    </row>
    <row r="730" ht="12.75">
      <c r="E730" s="8"/>
      <c r="F730" s="8"/>
      <c r="G730" s="8"/>
      <c r="H730" s="48"/>
      <c r="I730" s="49"/>
      <c r="M730" s="45"/>
      <c r="N730" s="45"/>
      <c r="O730" s="45"/>
      <c r="P730" s="8"/>
      <c r="Q730" s="8"/>
    </row>
    <row r="731" ht="12.75">
      <c r="E731" s="8"/>
      <c r="F731" s="8"/>
      <c r="G731" s="8"/>
      <c r="H731" s="48"/>
      <c r="I731" s="49"/>
      <c r="M731" s="45"/>
      <c r="N731" s="45"/>
      <c r="O731" s="45"/>
      <c r="P731" s="8"/>
      <c r="Q731" s="8"/>
    </row>
    <row r="732" ht="12.75">
      <c r="E732" s="8"/>
      <c r="F732" s="8"/>
      <c r="G732" s="8"/>
      <c r="H732" s="48"/>
      <c r="I732" s="49"/>
      <c r="M732" s="45"/>
      <c r="N732" s="45"/>
      <c r="O732" s="45"/>
      <c r="P732" s="8"/>
      <c r="Q732" s="8"/>
    </row>
    <row r="733" ht="12.75">
      <c r="E733" s="8"/>
      <c r="F733" s="8"/>
      <c r="G733" s="8"/>
      <c r="H733" s="48"/>
      <c r="I733" s="49"/>
      <c r="M733" s="45"/>
      <c r="N733" s="45"/>
      <c r="O733" s="45"/>
      <c r="P733" s="8"/>
      <c r="Q733" s="8"/>
    </row>
    <row r="734" ht="12.75">
      <c r="E734" s="8"/>
      <c r="F734" s="8"/>
      <c r="G734" s="8"/>
      <c r="H734" s="48"/>
      <c r="I734" s="49"/>
      <c r="M734" s="45"/>
      <c r="N734" s="45"/>
      <c r="O734" s="45"/>
      <c r="P734" s="8"/>
      <c r="Q734" s="8"/>
    </row>
    <row r="735" ht="12.75">
      <c r="E735" s="8"/>
      <c r="F735" s="8"/>
      <c r="G735" s="8"/>
      <c r="H735" s="48"/>
      <c r="I735" s="49"/>
      <c r="M735" s="45"/>
      <c r="N735" s="45"/>
      <c r="O735" s="45"/>
      <c r="P735" s="8"/>
      <c r="Q735" s="8"/>
    </row>
    <row r="736" ht="12.75">
      <c r="E736" s="8"/>
      <c r="F736" s="8"/>
      <c r="G736" s="8"/>
      <c r="H736" s="48"/>
      <c r="I736" s="49"/>
      <c r="M736" s="45"/>
      <c r="N736" s="45"/>
      <c r="O736" s="45"/>
      <c r="P736" s="8"/>
      <c r="Q736" s="8"/>
    </row>
    <row r="737" ht="12.75">
      <c r="E737" s="8"/>
      <c r="F737" s="8"/>
      <c r="G737" s="8"/>
      <c r="H737" s="48"/>
      <c r="I737" s="49"/>
      <c r="M737" s="45"/>
      <c r="N737" s="45"/>
      <c r="O737" s="45"/>
      <c r="P737" s="8"/>
      <c r="Q737" s="8"/>
    </row>
    <row r="738" ht="12.75">
      <c r="E738" s="8"/>
      <c r="F738" s="8"/>
      <c r="G738" s="8"/>
      <c r="H738" s="48"/>
      <c r="I738" s="49"/>
      <c r="M738" s="45"/>
      <c r="N738" s="45"/>
      <c r="O738" s="45"/>
      <c r="P738" s="8"/>
      <c r="Q738" s="8"/>
    </row>
    <row r="739" ht="12.75">
      <c r="E739" s="8"/>
      <c r="F739" s="8"/>
      <c r="G739" s="8"/>
      <c r="H739" s="48"/>
      <c r="I739" s="49"/>
      <c r="M739" s="45"/>
      <c r="N739" s="45"/>
      <c r="O739" s="45"/>
      <c r="P739" s="8"/>
      <c r="Q739" s="8"/>
    </row>
    <row r="740" ht="12.75">
      <c r="E740" s="8"/>
      <c r="F740" s="8"/>
      <c r="G740" s="8"/>
      <c r="H740" s="48"/>
      <c r="I740" s="49"/>
      <c r="M740" s="45"/>
      <c r="N740" s="45"/>
      <c r="O740" s="45"/>
      <c r="P740" s="8"/>
      <c r="Q740" s="8"/>
    </row>
    <row r="741" ht="12.75">
      <c r="E741" s="8"/>
      <c r="F741" s="8"/>
      <c r="G741" s="8"/>
      <c r="H741" s="48"/>
      <c r="I741" s="49"/>
      <c r="M741" s="45"/>
      <c r="N741" s="45"/>
      <c r="O741" s="45"/>
      <c r="P741" s="8"/>
      <c r="Q741" s="8"/>
    </row>
    <row r="742" ht="12.75">
      <c r="E742" s="8"/>
      <c r="F742" s="8"/>
      <c r="G742" s="8"/>
      <c r="H742" s="48"/>
      <c r="I742" s="49"/>
      <c r="M742" s="45"/>
      <c r="N742" s="45"/>
      <c r="O742" s="45"/>
      <c r="P742" s="8"/>
      <c r="Q742" s="8"/>
    </row>
    <row r="743" ht="12.75">
      <c r="E743" s="8"/>
      <c r="F743" s="8"/>
      <c r="G743" s="8"/>
      <c r="H743" s="48"/>
      <c r="I743" s="49"/>
      <c r="M743" s="45"/>
      <c r="N743" s="45"/>
      <c r="O743" s="45"/>
      <c r="P743" s="8"/>
      <c r="Q743" s="8"/>
    </row>
    <row r="744" ht="12.75">
      <c r="E744" s="8"/>
      <c r="F744" s="8"/>
      <c r="G744" s="8"/>
      <c r="H744" s="48"/>
      <c r="I744" s="49"/>
      <c r="M744" s="45"/>
      <c r="N744" s="45"/>
      <c r="O744" s="45"/>
      <c r="P744" s="8"/>
      <c r="Q744" s="8"/>
    </row>
    <row r="745" ht="12.75">
      <c r="E745" s="8"/>
      <c r="F745" s="8"/>
      <c r="G745" s="8"/>
      <c r="H745" s="48"/>
      <c r="I745" s="49"/>
      <c r="M745" s="45"/>
      <c r="N745" s="45"/>
      <c r="O745" s="45"/>
      <c r="P745" s="8"/>
      <c r="Q745" s="8"/>
    </row>
    <row r="746" ht="12.75">
      <c r="E746" s="8"/>
      <c r="F746" s="8"/>
      <c r="G746" s="8"/>
      <c r="H746" s="48"/>
      <c r="I746" s="49"/>
      <c r="M746" s="45"/>
      <c r="N746" s="45"/>
      <c r="O746" s="45"/>
      <c r="P746" s="8"/>
      <c r="Q746" s="8"/>
    </row>
    <row r="747" ht="12.75">
      <c r="E747" s="8"/>
      <c r="F747" s="8"/>
      <c r="G747" s="8"/>
      <c r="H747" s="48"/>
      <c r="I747" s="49"/>
      <c r="M747" s="45"/>
      <c r="N747" s="45"/>
      <c r="O747" s="45"/>
      <c r="P747" s="8"/>
      <c r="Q747" s="8"/>
    </row>
    <row r="748" ht="12.75">
      <c r="E748" s="8"/>
      <c r="F748" s="8"/>
      <c r="G748" s="8"/>
      <c r="H748" s="48"/>
      <c r="I748" s="49"/>
      <c r="M748" s="45"/>
      <c r="N748" s="45"/>
      <c r="O748" s="45"/>
      <c r="P748" s="8"/>
      <c r="Q748" s="8"/>
    </row>
    <row r="749" ht="12.75">
      <c r="E749" s="8"/>
      <c r="F749" s="8"/>
      <c r="G749" s="8"/>
      <c r="H749" s="48"/>
      <c r="I749" s="49"/>
      <c r="M749" s="45"/>
      <c r="N749" s="45"/>
      <c r="O749" s="45"/>
      <c r="P749" s="8"/>
      <c r="Q749" s="8"/>
    </row>
    <row r="750" ht="12.75">
      <c r="E750" s="8"/>
      <c r="F750" s="8"/>
      <c r="G750" s="8"/>
      <c r="H750" s="48"/>
      <c r="I750" s="49"/>
      <c r="M750" s="45"/>
      <c r="N750" s="45"/>
      <c r="O750" s="45"/>
      <c r="P750" s="8"/>
      <c r="Q750" s="8"/>
    </row>
    <row r="751" ht="12.75">
      <c r="E751" s="8"/>
      <c r="F751" s="8"/>
      <c r="G751" s="8"/>
      <c r="H751" s="48"/>
      <c r="I751" s="49"/>
      <c r="M751" s="45"/>
      <c r="N751" s="45"/>
      <c r="O751" s="45"/>
      <c r="P751" s="8"/>
      <c r="Q751" s="8"/>
    </row>
    <row r="752" ht="12.75">
      <c r="E752" s="8"/>
      <c r="F752" s="8"/>
      <c r="G752" s="8"/>
      <c r="H752" s="48"/>
      <c r="I752" s="49"/>
      <c r="M752" s="45"/>
      <c r="N752" s="45"/>
      <c r="O752" s="45"/>
      <c r="P752" s="8"/>
      <c r="Q752" s="8"/>
    </row>
    <row r="753" ht="12.75">
      <c r="E753" s="8"/>
      <c r="F753" s="8"/>
      <c r="G753" s="8"/>
      <c r="H753" s="48"/>
      <c r="I753" s="49"/>
      <c r="M753" s="45"/>
      <c r="N753" s="45"/>
      <c r="O753" s="45"/>
      <c r="P753" s="8"/>
      <c r="Q753" s="8"/>
    </row>
    <row r="754" ht="12.75">
      <c r="E754" s="8"/>
      <c r="F754" s="8"/>
      <c r="G754" s="8"/>
      <c r="H754" s="48"/>
      <c r="I754" s="49"/>
      <c r="M754" s="45"/>
      <c r="N754" s="45"/>
      <c r="O754" s="45"/>
      <c r="P754" s="8"/>
      <c r="Q754" s="8"/>
    </row>
    <row r="755" ht="12.75">
      <c r="E755" s="8"/>
      <c r="F755" s="8"/>
      <c r="G755" s="8"/>
      <c r="H755" s="48"/>
      <c r="I755" s="49"/>
      <c r="M755" s="45"/>
      <c r="N755" s="45"/>
      <c r="O755" s="45"/>
      <c r="P755" s="8"/>
      <c r="Q755" s="8"/>
    </row>
    <row r="756" ht="12.75">
      <c r="E756" s="8"/>
      <c r="F756" s="8"/>
      <c r="G756" s="8"/>
      <c r="H756" s="48"/>
      <c r="I756" s="49"/>
      <c r="M756" s="45"/>
      <c r="N756" s="45"/>
      <c r="O756" s="45"/>
      <c r="P756" s="8"/>
      <c r="Q756" s="8"/>
    </row>
    <row r="757" ht="12.75">
      <c r="E757" s="8"/>
      <c r="F757" s="8"/>
      <c r="G757" s="8"/>
      <c r="H757" s="48"/>
      <c r="I757" s="49"/>
      <c r="M757" s="45"/>
      <c r="N757" s="45"/>
      <c r="O757" s="45"/>
      <c r="P757" s="8"/>
      <c r="Q757" s="8"/>
    </row>
    <row r="758" ht="12.75">
      <c r="E758" s="8"/>
      <c r="F758" s="8"/>
      <c r="G758" s="8"/>
      <c r="H758" s="48"/>
      <c r="I758" s="49"/>
      <c r="M758" s="45"/>
      <c r="N758" s="45"/>
      <c r="O758" s="45"/>
      <c r="P758" s="8"/>
      <c r="Q758" s="8"/>
    </row>
    <row r="759" ht="12.75">
      <c r="E759" s="8"/>
      <c r="F759" s="8"/>
      <c r="G759" s="8"/>
      <c r="H759" s="48"/>
      <c r="I759" s="49"/>
      <c r="M759" s="45"/>
      <c r="N759" s="45"/>
      <c r="O759" s="45"/>
      <c r="P759" s="8"/>
      <c r="Q759" s="8"/>
    </row>
    <row r="760" ht="12.75">
      <c r="E760" s="8"/>
      <c r="F760" s="8"/>
      <c r="G760" s="8"/>
      <c r="H760" s="48"/>
      <c r="I760" s="49"/>
      <c r="M760" s="45"/>
      <c r="N760" s="45"/>
      <c r="O760" s="45"/>
      <c r="P760" s="8"/>
      <c r="Q760" s="8"/>
    </row>
    <row r="761" ht="12.75">
      <c r="E761" s="8"/>
      <c r="F761" s="8"/>
      <c r="G761" s="8"/>
      <c r="H761" s="48"/>
      <c r="I761" s="49"/>
      <c r="M761" s="45"/>
      <c r="N761" s="45"/>
      <c r="O761" s="45"/>
      <c r="P761" s="8"/>
      <c r="Q761" s="8"/>
    </row>
    <row r="762" ht="12.75">
      <c r="E762" s="8"/>
      <c r="F762" s="8"/>
      <c r="G762" s="8"/>
      <c r="H762" s="48"/>
      <c r="I762" s="49"/>
      <c r="M762" s="45"/>
      <c r="N762" s="45"/>
      <c r="O762" s="45"/>
      <c r="P762" s="8"/>
      <c r="Q762" s="8"/>
    </row>
    <row r="763" ht="12.75">
      <c r="E763" s="8"/>
      <c r="F763" s="8"/>
      <c r="G763" s="8"/>
      <c r="H763" s="48"/>
      <c r="I763" s="49"/>
      <c r="M763" s="45"/>
      <c r="N763" s="45"/>
      <c r="O763" s="45"/>
      <c r="P763" s="8"/>
      <c r="Q763" s="8"/>
    </row>
    <row r="764" ht="12.75">
      <c r="E764" s="8"/>
      <c r="F764" s="8"/>
      <c r="G764" s="8"/>
      <c r="H764" s="48"/>
      <c r="I764" s="49"/>
      <c r="M764" s="45"/>
      <c r="N764" s="45"/>
      <c r="O764" s="45"/>
      <c r="P764" s="8"/>
      <c r="Q764" s="8"/>
    </row>
    <row r="765" ht="12.75">
      <c r="E765" s="8"/>
      <c r="F765" s="8"/>
      <c r="G765" s="8"/>
      <c r="H765" s="48"/>
      <c r="I765" s="49"/>
      <c r="M765" s="45"/>
      <c r="N765" s="45"/>
      <c r="O765" s="45"/>
      <c r="P765" s="8"/>
      <c r="Q765" s="8"/>
    </row>
    <row r="766" ht="12.75">
      <c r="E766" s="8"/>
      <c r="F766" s="8"/>
      <c r="G766" s="8"/>
      <c r="H766" s="48"/>
      <c r="I766" s="49"/>
      <c r="M766" s="45"/>
      <c r="N766" s="45"/>
      <c r="O766" s="45"/>
      <c r="P766" s="8"/>
      <c r="Q766" s="8"/>
    </row>
    <row r="767" ht="12.75">
      <c r="E767" s="8"/>
      <c r="F767" s="8"/>
      <c r="G767" s="8"/>
      <c r="H767" s="48"/>
      <c r="I767" s="49"/>
      <c r="M767" s="45"/>
      <c r="N767" s="45"/>
      <c r="O767" s="45"/>
      <c r="P767" s="8"/>
      <c r="Q767" s="8"/>
    </row>
    <row r="768" ht="12.75">
      <c r="E768" s="8"/>
      <c r="F768" s="8"/>
      <c r="G768" s="8"/>
      <c r="H768" s="48"/>
      <c r="I768" s="49"/>
      <c r="M768" s="45"/>
      <c r="N768" s="45"/>
      <c r="O768" s="45"/>
      <c r="P768" s="8"/>
      <c r="Q768" s="8"/>
    </row>
    <row r="769" ht="12.75">
      <c r="E769" s="8"/>
      <c r="F769" s="8"/>
      <c r="G769" s="8"/>
      <c r="H769" s="48"/>
      <c r="I769" s="49"/>
      <c r="M769" s="45"/>
      <c r="N769" s="45"/>
      <c r="O769" s="45"/>
      <c r="P769" s="8"/>
      <c r="Q769" s="8"/>
    </row>
    <row r="770" ht="12.75">
      <c r="E770" s="8"/>
      <c r="F770" s="8"/>
      <c r="G770" s="8"/>
      <c r="H770" s="48"/>
      <c r="I770" s="49"/>
      <c r="M770" s="45"/>
      <c r="N770" s="45"/>
      <c r="O770" s="45"/>
      <c r="P770" s="8"/>
      <c r="Q770" s="8"/>
    </row>
    <row r="771" ht="12.75">
      <c r="E771" s="8"/>
      <c r="F771" s="8"/>
      <c r="G771" s="8"/>
      <c r="H771" s="48"/>
      <c r="I771" s="49"/>
      <c r="M771" s="45"/>
      <c r="N771" s="45"/>
      <c r="O771" s="45"/>
      <c r="P771" s="8"/>
      <c r="Q771" s="8"/>
    </row>
    <row r="772" ht="12.75">
      <c r="E772" s="8"/>
      <c r="F772" s="8"/>
      <c r="G772" s="8"/>
      <c r="H772" s="48"/>
      <c r="I772" s="49"/>
      <c r="M772" s="45"/>
      <c r="N772" s="45"/>
      <c r="O772" s="45"/>
      <c r="P772" s="8"/>
      <c r="Q772" s="8"/>
    </row>
    <row r="773" ht="12.75">
      <c r="E773" s="8"/>
      <c r="F773" s="8"/>
      <c r="G773" s="8"/>
      <c r="H773" s="48"/>
      <c r="I773" s="49"/>
      <c r="M773" s="45"/>
      <c r="N773" s="45"/>
      <c r="O773" s="45"/>
      <c r="P773" s="8"/>
      <c r="Q773" s="8"/>
    </row>
    <row r="774" ht="12.75">
      <c r="E774" s="8"/>
      <c r="F774" s="8"/>
      <c r="G774" s="8"/>
      <c r="H774" s="48"/>
      <c r="I774" s="49"/>
      <c r="M774" s="45"/>
      <c r="N774" s="45"/>
      <c r="O774" s="45"/>
      <c r="P774" s="8"/>
      <c r="Q774" s="8"/>
    </row>
    <row r="775" ht="12.75">
      <c r="E775" s="8"/>
      <c r="F775" s="8"/>
      <c r="G775" s="8"/>
      <c r="H775" s="48"/>
      <c r="I775" s="49"/>
      <c r="M775" s="45"/>
      <c r="N775" s="45"/>
      <c r="O775" s="45"/>
      <c r="P775" s="8"/>
      <c r="Q775" s="8"/>
    </row>
    <row r="776" ht="12.75">
      <c r="E776" s="8"/>
      <c r="F776" s="8"/>
      <c r="G776" s="8"/>
      <c r="H776" s="48"/>
      <c r="I776" s="49"/>
      <c r="M776" s="45"/>
      <c r="N776" s="45"/>
      <c r="O776" s="45"/>
      <c r="P776" s="8"/>
      <c r="Q776" s="8"/>
    </row>
    <row r="777" ht="12.75">
      <c r="E777" s="8"/>
      <c r="F777" s="8"/>
      <c r="G777" s="8"/>
      <c r="H777" s="48"/>
      <c r="I777" s="49"/>
      <c r="M777" s="45"/>
      <c r="N777" s="45"/>
      <c r="O777" s="45"/>
      <c r="P777" s="8"/>
      <c r="Q777" s="8"/>
    </row>
    <row r="778" ht="12.75">
      <c r="E778" s="8"/>
      <c r="F778" s="8"/>
      <c r="G778" s="8"/>
      <c r="H778" s="48"/>
      <c r="I778" s="49"/>
      <c r="M778" s="45"/>
      <c r="N778" s="45"/>
      <c r="O778" s="45"/>
      <c r="P778" s="8"/>
      <c r="Q778" s="8"/>
    </row>
    <row r="779" ht="12.75">
      <c r="E779" s="8"/>
      <c r="F779" s="8"/>
      <c r="G779" s="8"/>
      <c r="H779" s="48"/>
      <c r="I779" s="49"/>
      <c r="M779" s="45"/>
      <c r="N779" s="45"/>
      <c r="O779" s="45"/>
      <c r="P779" s="8"/>
      <c r="Q779" s="8"/>
    </row>
    <row r="780" ht="12.75">
      <c r="E780" s="8"/>
      <c r="F780" s="8"/>
      <c r="G780" s="8"/>
      <c r="H780" s="48"/>
      <c r="I780" s="49"/>
      <c r="M780" s="45"/>
      <c r="N780" s="45"/>
      <c r="O780" s="45"/>
      <c r="P780" s="8"/>
      <c r="Q780" s="8"/>
    </row>
    <row r="781" ht="12.75">
      <c r="E781" s="8"/>
      <c r="F781" s="8"/>
      <c r="G781" s="8"/>
      <c r="H781" s="48"/>
      <c r="I781" s="49"/>
      <c r="M781" s="45"/>
      <c r="N781" s="45"/>
      <c r="O781" s="45"/>
      <c r="P781" s="8"/>
      <c r="Q781" s="8"/>
    </row>
    <row r="782" ht="12.75">
      <c r="E782" s="8"/>
      <c r="F782" s="8"/>
      <c r="G782" s="8"/>
      <c r="H782" s="48"/>
      <c r="I782" s="49"/>
      <c r="M782" s="45"/>
      <c r="N782" s="45"/>
      <c r="O782" s="45"/>
      <c r="P782" s="8"/>
      <c r="Q782" s="8"/>
    </row>
    <row r="783" ht="12.75">
      <c r="E783" s="8"/>
      <c r="F783" s="8"/>
      <c r="G783" s="8"/>
      <c r="H783" s="48"/>
      <c r="I783" s="49"/>
      <c r="M783" s="45"/>
      <c r="N783" s="45"/>
      <c r="O783" s="45"/>
      <c r="P783" s="8"/>
      <c r="Q783" s="8"/>
    </row>
    <row r="784" ht="12.75">
      <c r="E784" s="8"/>
      <c r="F784" s="8"/>
      <c r="G784" s="8"/>
      <c r="H784" s="48"/>
      <c r="I784" s="49"/>
      <c r="M784" s="45"/>
      <c r="N784" s="45"/>
      <c r="O784" s="45"/>
      <c r="P784" s="8"/>
      <c r="Q784" s="8"/>
    </row>
    <row r="785" ht="12.75">
      <c r="E785" s="8"/>
      <c r="F785" s="8"/>
      <c r="G785" s="8"/>
      <c r="H785" s="48"/>
      <c r="I785" s="49"/>
      <c r="M785" s="45"/>
      <c r="N785" s="45"/>
      <c r="O785" s="45"/>
      <c r="P785" s="8"/>
      <c r="Q785" s="8"/>
    </row>
    <row r="786" ht="12.75">
      <c r="E786" s="8"/>
      <c r="F786" s="8"/>
      <c r="G786" s="8"/>
      <c r="H786" s="48"/>
      <c r="I786" s="49"/>
      <c r="M786" s="45"/>
      <c r="N786" s="45"/>
      <c r="O786" s="45"/>
      <c r="P786" s="8"/>
      <c r="Q786" s="8"/>
    </row>
    <row r="787" ht="12.75">
      <c r="E787" s="8"/>
      <c r="F787" s="8"/>
      <c r="G787" s="8"/>
      <c r="H787" s="48"/>
      <c r="I787" s="49"/>
      <c r="M787" s="45"/>
      <c r="N787" s="45"/>
      <c r="O787" s="45"/>
      <c r="P787" s="8"/>
      <c r="Q787" s="8"/>
    </row>
    <row r="788" ht="12.75">
      <c r="E788" s="8"/>
      <c r="F788" s="8"/>
      <c r="G788" s="8"/>
      <c r="H788" s="48"/>
      <c r="I788" s="49"/>
      <c r="M788" s="45"/>
      <c r="N788" s="45"/>
      <c r="O788" s="45"/>
      <c r="P788" s="8"/>
      <c r="Q788" s="8"/>
    </row>
    <row r="789" ht="12.75">
      <c r="E789" s="8"/>
      <c r="F789" s="8"/>
      <c r="G789" s="8"/>
      <c r="H789" s="48"/>
      <c r="I789" s="49"/>
      <c r="M789" s="45"/>
      <c r="N789" s="45"/>
      <c r="O789" s="45"/>
      <c r="P789" s="8"/>
      <c r="Q789" s="8"/>
    </row>
    <row r="790" ht="12.75">
      <c r="E790" s="8"/>
      <c r="F790" s="8"/>
      <c r="G790" s="8"/>
      <c r="H790" s="48"/>
      <c r="I790" s="49"/>
      <c r="M790" s="45"/>
      <c r="N790" s="45"/>
      <c r="O790" s="45"/>
      <c r="P790" s="8"/>
      <c r="Q790" s="8"/>
    </row>
    <row r="791" ht="12.75">
      <c r="E791" s="8"/>
      <c r="F791" s="8"/>
      <c r="G791" s="8"/>
      <c r="H791" s="48"/>
      <c r="I791" s="49"/>
      <c r="M791" s="45"/>
      <c r="N791" s="45"/>
      <c r="O791" s="45"/>
      <c r="P791" s="8"/>
      <c r="Q791" s="8"/>
    </row>
    <row r="792" ht="12.75">
      <c r="E792" s="8"/>
      <c r="F792" s="8"/>
      <c r="G792" s="8"/>
      <c r="H792" s="48"/>
      <c r="I792" s="49"/>
      <c r="M792" s="45"/>
      <c r="N792" s="45"/>
      <c r="O792" s="45"/>
      <c r="P792" s="8"/>
      <c r="Q792" s="8"/>
    </row>
    <row r="793" ht="12.75">
      <c r="E793" s="8"/>
      <c r="F793" s="8"/>
      <c r="G793" s="8"/>
      <c r="H793" s="48"/>
      <c r="I793" s="49"/>
      <c r="M793" s="45"/>
      <c r="N793" s="45"/>
      <c r="O793" s="45"/>
      <c r="P793" s="8"/>
      <c r="Q793" s="8"/>
    </row>
    <row r="794" ht="12.75">
      <c r="E794" s="8"/>
      <c r="F794" s="8"/>
      <c r="G794" s="8"/>
      <c r="H794" s="48"/>
      <c r="I794" s="49"/>
      <c r="M794" s="45"/>
      <c r="N794" s="45"/>
      <c r="O794" s="45"/>
      <c r="P794" s="8"/>
      <c r="Q794" s="8"/>
    </row>
    <row r="795" ht="12.75">
      <c r="E795" s="8"/>
      <c r="F795" s="8"/>
      <c r="G795" s="8"/>
      <c r="H795" s="48"/>
      <c r="I795" s="49"/>
      <c r="M795" s="45"/>
      <c r="N795" s="45"/>
      <c r="O795" s="45"/>
      <c r="P795" s="8"/>
      <c r="Q795" s="8"/>
    </row>
    <row r="796" ht="12.75">
      <c r="E796" s="8"/>
      <c r="F796" s="8"/>
      <c r="G796" s="8"/>
      <c r="H796" s="48"/>
      <c r="I796" s="49"/>
      <c r="M796" s="45"/>
      <c r="N796" s="45"/>
      <c r="O796" s="45"/>
      <c r="P796" s="8"/>
      <c r="Q796" s="8"/>
    </row>
    <row r="797" ht="12.75">
      <c r="E797" s="8"/>
      <c r="F797" s="8"/>
      <c r="G797" s="8"/>
      <c r="H797" s="48"/>
      <c r="I797" s="49"/>
      <c r="M797" s="45"/>
      <c r="N797" s="45"/>
      <c r="O797" s="45"/>
      <c r="P797" s="8"/>
      <c r="Q797" s="8"/>
    </row>
    <row r="798" ht="12.75">
      <c r="E798" s="8"/>
      <c r="F798" s="8"/>
      <c r="G798" s="8"/>
      <c r="H798" s="48"/>
      <c r="I798" s="49"/>
      <c r="M798" s="45"/>
      <c r="N798" s="45"/>
      <c r="O798" s="45"/>
      <c r="P798" s="8"/>
      <c r="Q798" s="8"/>
    </row>
    <row r="799" ht="12.75">
      <c r="E799" s="8"/>
      <c r="F799" s="8"/>
      <c r="G799" s="8"/>
      <c r="H799" s="48"/>
      <c r="I799" s="49"/>
      <c r="M799" s="45"/>
      <c r="N799" s="45"/>
      <c r="O799" s="45"/>
      <c r="P799" s="8"/>
      <c r="Q799" s="8"/>
    </row>
    <row r="800" ht="12.75">
      <c r="E800" s="8"/>
      <c r="F800" s="8"/>
      <c r="G800" s="8"/>
      <c r="H800" s="48"/>
      <c r="I800" s="49"/>
      <c r="M800" s="45"/>
      <c r="N800" s="45"/>
      <c r="O800" s="45"/>
      <c r="P800" s="8"/>
      <c r="Q800" s="8"/>
    </row>
    <row r="801" ht="12.75">
      <c r="E801" s="8"/>
      <c r="F801" s="8"/>
      <c r="G801" s="8"/>
      <c r="H801" s="48"/>
      <c r="I801" s="49"/>
      <c r="M801" s="45"/>
      <c r="N801" s="45"/>
      <c r="O801" s="45"/>
      <c r="P801" s="8"/>
      <c r="Q801" s="8"/>
    </row>
    <row r="802" ht="12.75">
      <c r="E802" s="8"/>
      <c r="F802" s="8"/>
      <c r="G802" s="8"/>
      <c r="H802" s="48"/>
      <c r="I802" s="49"/>
      <c r="M802" s="45"/>
      <c r="N802" s="45"/>
      <c r="O802" s="45"/>
      <c r="P802" s="8"/>
      <c r="Q802" s="8"/>
    </row>
    <row r="803" ht="12.75">
      <c r="E803" s="8"/>
      <c r="F803" s="8"/>
      <c r="G803" s="8"/>
      <c r="H803" s="48"/>
      <c r="I803" s="49"/>
      <c r="M803" s="45"/>
      <c r="N803" s="45"/>
      <c r="O803" s="45"/>
      <c r="P803" s="8"/>
      <c r="Q803" s="8"/>
    </row>
    <row r="804" ht="12.75">
      <c r="E804" s="8"/>
      <c r="F804" s="8"/>
      <c r="G804" s="8"/>
      <c r="H804" s="48"/>
      <c r="I804" s="49"/>
      <c r="M804" s="45"/>
      <c r="N804" s="45"/>
      <c r="O804" s="45"/>
      <c r="P804" s="8"/>
      <c r="Q804" s="8"/>
    </row>
    <row r="805" ht="12.75">
      <c r="E805" s="8"/>
      <c r="F805" s="8"/>
      <c r="G805" s="8"/>
      <c r="H805" s="48"/>
      <c r="I805" s="49"/>
      <c r="M805" s="45"/>
      <c r="N805" s="45"/>
      <c r="O805" s="45"/>
      <c r="P805" s="8"/>
      <c r="Q805" s="8"/>
    </row>
    <row r="806" ht="12.75">
      <c r="E806" s="8"/>
      <c r="F806" s="8"/>
      <c r="G806" s="8"/>
      <c r="H806" s="48"/>
      <c r="I806" s="49"/>
      <c r="M806" s="45"/>
      <c r="N806" s="45"/>
      <c r="O806" s="45"/>
      <c r="P806" s="8"/>
      <c r="Q806" s="8"/>
    </row>
    <row r="807" ht="12.75">
      <c r="E807" s="8"/>
      <c r="F807" s="8"/>
      <c r="G807" s="8"/>
      <c r="H807" s="48"/>
      <c r="I807" s="49"/>
      <c r="M807" s="45"/>
      <c r="N807" s="45"/>
      <c r="O807" s="45"/>
      <c r="P807" s="8"/>
      <c r="Q807" s="8"/>
    </row>
    <row r="808" ht="12.75">
      <c r="E808" s="8"/>
      <c r="F808" s="8"/>
      <c r="G808" s="8"/>
      <c r="H808" s="48"/>
      <c r="I808" s="49"/>
      <c r="M808" s="45"/>
      <c r="N808" s="45"/>
      <c r="O808" s="45"/>
      <c r="P808" s="8"/>
      <c r="Q808" s="8"/>
    </row>
    <row r="809" ht="12.75">
      <c r="E809" s="8"/>
      <c r="F809" s="8"/>
      <c r="G809" s="8"/>
      <c r="H809" s="48"/>
      <c r="I809" s="49"/>
      <c r="M809" s="45"/>
      <c r="N809" s="45"/>
      <c r="O809" s="45"/>
      <c r="P809" s="8"/>
      <c r="Q809" s="8"/>
    </row>
    <row r="810" ht="12.75">
      <c r="E810" s="8"/>
      <c r="F810" s="8"/>
      <c r="G810" s="8"/>
      <c r="H810" s="48"/>
      <c r="I810" s="49"/>
      <c r="M810" s="45"/>
      <c r="N810" s="45"/>
      <c r="O810" s="45"/>
      <c r="P810" s="8"/>
      <c r="Q810" s="8"/>
    </row>
    <row r="811" ht="12.75">
      <c r="E811" s="8"/>
      <c r="F811" s="8"/>
      <c r="G811" s="8"/>
      <c r="H811" s="48"/>
      <c r="I811" s="49"/>
      <c r="M811" s="45"/>
      <c r="N811" s="45"/>
      <c r="O811" s="45"/>
      <c r="P811" s="8"/>
      <c r="Q811" s="8"/>
    </row>
    <row r="812" ht="12.75">
      <c r="E812" s="8"/>
      <c r="F812" s="8"/>
      <c r="G812" s="8"/>
      <c r="H812" s="48"/>
      <c r="I812" s="49"/>
      <c r="M812" s="45"/>
      <c r="N812" s="45"/>
      <c r="O812" s="45"/>
      <c r="P812" s="8"/>
      <c r="Q812" s="8"/>
    </row>
    <row r="813" ht="12.75">
      <c r="E813" s="8"/>
      <c r="F813" s="8"/>
      <c r="G813" s="8"/>
      <c r="H813" s="48"/>
      <c r="I813" s="49"/>
      <c r="M813" s="45"/>
      <c r="N813" s="45"/>
      <c r="O813" s="45"/>
      <c r="P813" s="8"/>
      <c r="Q813" s="8"/>
    </row>
    <row r="814" ht="12.75">
      <c r="E814" s="8"/>
      <c r="F814" s="8"/>
      <c r="G814" s="8"/>
      <c r="H814" s="48"/>
      <c r="I814" s="49"/>
      <c r="M814" s="45"/>
      <c r="N814" s="45"/>
      <c r="O814" s="45"/>
      <c r="P814" s="8"/>
      <c r="Q814" s="8"/>
    </row>
    <row r="815" ht="12.75">
      <c r="E815" s="8"/>
      <c r="F815" s="8"/>
      <c r="G815" s="8"/>
      <c r="H815" s="48"/>
      <c r="I815" s="49"/>
      <c r="M815" s="45"/>
      <c r="N815" s="45"/>
      <c r="O815" s="45"/>
      <c r="P815" s="8"/>
      <c r="Q815" s="8"/>
    </row>
    <row r="816" ht="12.75">
      <c r="E816" s="8"/>
      <c r="F816" s="8"/>
      <c r="G816" s="8"/>
      <c r="H816" s="48"/>
      <c r="I816" s="49"/>
      <c r="M816" s="45"/>
      <c r="N816" s="45"/>
      <c r="O816" s="45"/>
      <c r="P816" s="8"/>
      <c r="Q816" s="8"/>
    </row>
    <row r="817" ht="12.75">
      <c r="E817" s="8"/>
      <c r="F817" s="8"/>
      <c r="G817" s="8"/>
      <c r="H817" s="48"/>
      <c r="I817" s="49"/>
      <c r="M817" s="45"/>
      <c r="N817" s="45"/>
      <c r="O817" s="45"/>
      <c r="P817" s="8"/>
      <c r="Q817" s="8"/>
    </row>
    <row r="818" ht="12.75">
      <c r="E818" s="8"/>
      <c r="F818" s="8"/>
      <c r="G818" s="8"/>
      <c r="H818" s="48"/>
      <c r="I818" s="49"/>
      <c r="M818" s="45"/>
      <c r="N818" s="45"/>
      <c r="O818" s="45"/>
      <c r="P818" s="8"/>
      <c r="Q818" s="8"/>
    </row>
    <row r="819" ht="12.75">
      <c r="E819" s="8"/>
      <c r="F819" s="8"/>
      <c r="G819" s="8"/>
      <c r="H819" s="48"/>
      <c r="I819" s="49"/>
      <c r="M819" s="45"/>
      <c r="N819" s="45"/>
      <c r="O819" s="45"/>
      <c r="P819" s="8"/>
      <c r="Q819" s="8"/>
    </row>
    <row r="820" ht="12.75">
      <c r="E820" s="8"/>
      <c r="F820" s="8"/>
      <c r="G820" s="8"/>
      <c r="H820" s="48"/>
      <c r="I820" s="49"/>
      <c r="M820" s="45"/>
      <c r="N820" s="45"/>
      <c r="O820" s="45"/>
      <c r="P820" s="8"/>
      <c r="Q820" s="8"/>
    </row>
    <row r="821" ht="12.75">
      <c r="E821" s="8"/>
      <c r="F821" s="8"/>
      <c r="G821" s="8"/>
      <c r="H821" s="48"/>
      <c r="I821" s="49"/>
      <c r="M821" s="45"/>
      <c r="N821" s="45"/>
      <c r="O821" s="45"/>
      <c r="P821" s="8"/>
      <c r="Q821" s="8"/>
    </row>
    <row r="822" ht="12.75">
      <c r="E822" s="8"/>
      <c r="F822" s="8"/>
      <c r="G822" s="8"/>
      <c r="H822" s="48"/>
      <c r="I822" s="49"/>
      <c r="M822" s="45"/>
      <c r="N822" s="45"/>
      <c r="O822" s="45"/>
      <c r="P822" s="8"/>
      <c r="Q822" s="8"/>
    </row>
    <row r="823" ht="12.75">
      <c r="E823" s="8"/>
      <c r="F823" s="8"/>
      <c r="G823" s="8"/>
      <c r="H823" s="48"/>
      <c r="I823" s="49"/>
      <c r="M823" s="45"/>
      <c r="N823" s="45"/>
      <c r="O823" s="45"/>
      <c r="P823" s="8"/>
      <c r="Q823" s="8"/>
    </row>
    <row r="824" ht="12.75">
      <c r="E824" s="8"/>
      <c r="F824" s="8"/>
      <c r="G824" s="8"/>
      <c r="H824" s="48"/>
      <c r="I824" s="49"/>
      <c r="M824" s="45"/>
      <c r="N824" s="45"/>
      <c r="O824" s="45"/>
      <c r="P824" s="8"/>
      <c r="Q824" s="8"/>
    </row>
    <row r="825" ht="12.75">
      <c r="E825" s="8"/>
      <c r="F825" s="8"/>
      <c r="G825" s="8"/>
      <c r="H825" s="48"/>
      <c r="I825" s="49"/>
      <c r="M825" s="45"/>
      <c r="N825" s="45"/>
      <c r="O825" s="45"/>
      <c r="P825" s="8"/>
      <c r="Q825" s="8"/>
    </row>
    <row r="826" ht="12.75">
      <c r="E826" s="8"/>
      <c r="F826" s="8"/>
      <c r="G826" s="8"/>
      <c r="H826" s="48"/>
      <c r="I826" s="49"/>
      <c r="M826" s="45"/>
      <c r="N826" s="45"/>
      <c r="O826" s="45"/>
      <c r="P826" s="8"/>
      <c r="Q826" s="8"/>
    </row>
    <row r="827" ht="12.75">
      <c r="E827" s="8"/>
      <c r="F827" s="8"/>
      <c r="G827" s="8"/>
      <c r="H827" s="48"/>
      <c r="I827" s="49"/>
      <c r="M827" s="45"/>
      <c r="N827" s="45"/>
      <c r="O827" s="45"/>
      <c r="P827" s="8"/>
      <c r="Q827" s="8"/>
    </row>
    <row r="828" ht="12.75">
      <c r="E828" s="8"/>
      <c r="F828" s="8"/>
      <c r="G828" s="8"/>
      <c r="H828" s="48"/>
      <c r="I828" s="49"/>
      <c r="M828" s="45"/>
      <c r="N828" s="45"/>
      <c r="O828" s="45"/>
      <c r="P828" s="8"/>
      <c r="Q828" s="8"/>
    </row>
    <row r="829" ht="12.75">
      <c r="E829" s="8"/>
      <c r="F829" s="8"/>
      <c r="G829" s="8"/>
      <c r="H829" s="48"/>
      <c r="I829" s="49"/>
      <c r="M829" s="45"/>
      <c r="N829" s="45"/>
      <c r="O829" s="45"/>
      <c r="P829" s="8"/>
      <c r="Q829" s="8"/>
    </row>
    <row r="830" ht="12.75">
      <c r="E830" s="8"/>
      <c r="F830" s="8"/>
      <c r="G830" s="8"/>
      <c r="H830" s="48"/>
      <c r="I830" s="49"/>
      <c r="M830" s="45"/>
      <c r="N830" s="45"/>
      <c r="O830" s="45"/>
      <c r="P830" s="8"/>
      <c r="Q830" s="8"/>
    </row>
    <row r="831" ht="12.75">
      <c r="E831" s="8"/>
      <c r="F831" s="8"/>
      <c r="G831" s="8"/>
      <c r="H831" s="48"/>
      <c r="I831" s="49"/>
      <c r="M831" s="45"/>
      <c r="N831" s="45"/>
      <c r="O831" s="45"/>
      <c r="P831" s="8"/>
      <c r="Q831" s="8"/>
    </row>
    <row r="832" ht="12.75">
      <c r="E832" s="8"/>
      <c r="F832" s="8"/>
      <c r="G832" s="8"/>
      <c r="H832" s="48"/>
      <c r="I832" s="49"/>
      <c r="M832" s="45"/>
      <c r="N832" s="45"/>
      <c r="O832" s="45"/>
      <c r="P832" s="8"/>
      <c r="Q832" s="8"/>
    </row>
    <row r="833" ht="12.75">
      <c r="E833" s="8"/>
      <c r="F833" s="8"/>
      <c r="G833" s="8"/>
      <c r="H833" s="48"/>
      <c r="I833" s="49"/>
      <c r="M833" s="45"/>
      <c r="N833" s="45"/>
      <c r="O833" s="45"/>
      <c r="P833" s="8"/>
      <c r="Q833" s="8"/>
    </row>
    <row r="834" ht="12.75">
      <c r="E834" s="8"/>
      <c r="F834" s="8"/>
      <c r="G834" s="8"/>
      <c r="H834" s="48"/>
      <c r="I834" s="49"/>
      <c r="M834" s="45"/>
      <c r="N834" s="45"/>
      <c r="O834" s="45"/>
      <c r="P834" s="8"/>
      <c r="Q834" s="8"/>
    </row>
    <row r="835" ht="12.75">
      <c r="E835" s="8"/>
      <c r="F835" s="8"/>
      <c r="G835" s="8"/>
      <c r="H835" s="48"/>
      <c r="I835" s="49"/>
      <c r="M835" s="45"/>
      <c r="N835" s="45"/>
      <c r="O835" s="45"/>
      <c r="P835" s="8"/>
      <c r="Q835" s="8"/>
    </row>
    <row r="836" ht="12.75">
      <c r="E836" s="8"/>
      <c r="F836" s="8"/>
      <c r="G836" s="8"/>
      <c r="H836" s="48"/>
      <c r="I836" s="49"/>
      <c r="M836" s="45"/>
      <c r="N836" s="45"/>
      <c r="O836" s="45"/>
      <c r="P836" s="8"/>
      <c r="Q836" s="8"/>
    </row>
    <row r="837" ht="12.75">
      <c r="E837" s="8"/>
      <c r="F837" s="8"/>
      <c r="G837" s="8"/>
      <c r="H837" s="48"/>
      <c r="I837" s="49"/>
      <c r="M837" s="45"/>
      <c r="N837" s="45"/>
      <c r="O837" s="45"/>
      <c r="P837" s="8"/>
      <c r="Q837" s="8"/>
    </row>
    <row r="838" ht="12.75">
      <c r="E838" s="8"/>
      <c r="F838" s="8"/>
      <c r="G838" s="8"/>
      <c r="H838" s="48"/>
      <c r="I838" s="49"/>
      <c r="M838" s="45"/>
      <c r="N838" s="45"/>
      <c r="O838" s="45"/>
      <c r="P838" s="8"/>
      <c r="Q838" s="8"/>
    </row>
    <row r="839" ht="12.75">
      <c r="E839" s="8"/>
      <c r="F839" s="8"/>
      <c r="G839" s="8"/>
      <c r="H839" s="48"/>
      <c r="I839" s="49"/>
      <c r="M839" s="45"/>
      <c r="N839" s="45"/>
      <c r="O839" s="45"/>
      <c r="P839" s="8"/>
      <c r="Q839" s="8"/>
    </row>
    <row r="840" ht="12.75">
      <c r="E840" s="8"/>
      <c r="F840" s="8"/>
      <c r="G840" s="8"/>
      <c r="H840" s="48"/>
      <c r="I840" s="49"/>
      <c r="M840" s="45"/>
      <c r="N840" s="45"/>
      <c r="O840" s="45"/>
      <c r="P840" s="8"/>
      <c r="Q840" s="8"/>
    </row>
    <row r="841" ht="12.75">
      <c r="E841" s="8"/>
      <c r="F841" s="8"/>
      <c r="G841" s="8"/>
      <c r="H841" s="48"/>
      <c r="I841" s="49"/>
      <c r="M841" s="45"/>
      <c r="N841" s="45"/>
      <c r="O841" s="45"/>
      <c r="P841" s="8"/>
      <c r="Q841" s="8"/>
    </row>
    <row r="842" ht="12.75">
      <c r="E842" s="8"/>
      <c r="F842" s="8"/>
      <c r="G842" s="8"/>
      <c r="H842" s="48"/>
      <c r="I842" s="49"/>
      <c r="M842" s="45"/>
      <c r="N842" s="45"/>
      <c r="O842" s="45"/>
      <c r="P842" s="8"/>
      <c r="Q842" s="8"/>
    </row>
    <row r="843" ht="12.75">
      <c r="E843" s="8"/>
      <c r="F843" s="8"/>
      <c r="G843" s="8"/>
      <c r="H843" s="48"/>
      <c r="I843" s="49"/>
      <c r="M843" s="45"/>
      <c r="N843" s="45"/>
      <c r="O843" s="45"/>
      <c r="P843" s="8"/>
      <c r="Q843" s="8"/>
    </row>
    <row r="844" ht="12.75">
      <c r="E844" s="8"/>
      <c r="F844" s="8"/>
      <c r="G844" s="8"/>
      <c r="H844" s="48"/>
      <c r="I844" s="49"/>
      <c r="M844" s="45"/>
      <c r="N844" s="45"/>
      <c r="O844" s="45"/>
      <c r="P844" s="8"/>
      <c r="Q844" s="8"/>
    </row>
    <row r="845" ht="12.75">
      <c r="E845" s="8"/>
      <c r="F845" s="8"/>
      <c r="G845" s="8"/>
      <c r="H845" s="48"/>
      <c r="I845" s="49"/>
      <c r="M845" s="45"/>
      <c r="N845" s="45"/>
      <c r="O845" s="45"/>
      <c r="P845" s="8"/>
      <c r="Q845" s="8"/>
    </row>
    <row r="846" ht="12.75">
      <c r="E846" s="8"/>
      <c r="F846" s="8"/>
      <c r="G846" s="8"/>
      <c r="H846" s="48"/>
      <c r="I846" s="49"/>
      <c r="M846" s="45"/>
      <c r="N846" s="45"/>
      <c r="O846" s="45"/>
      <c r="P846" s="8"/>
      <c r="Q846" s="8"/>
    </row>
    <row r="847" ht="12.75">
      <c r="E847" s="8"/>
      <c r="F847" s="8"/>
      <c r="G847" s="8"/>
      <c r="H847" s="48"/>
      <c r="I847" s="49"/>
      <c r="M847" s="45"/>
      <c r="N847" s="45"/>
      <c r="O847" s="45"/>
      <c r="P847" s="8"/>
      <c r="Q847" s="8"/>
    </row>
    <row r="848" ht="12.75">
      <c r="E848" s="8"/>
      <c r="F848" s="8"/>
      <c r="G848" s="8"/>
      <c r="H848" s="48"/>
      <c r="I848" s="49"/>
      <c r="M848" s="45"/>
      <c r="N848" s="45"/>
      <c r="O848" s="45"/>
      <c r="P848" s="8"/>
      <c r="Q848" s="8"/>
    </row>
    <row r="849" ht="12.75">
      <c r="E849" s="8"/>
      <c r="F849" s="8"/>
      <c r="G849" s="8"/>
      <c r="H849" s="48"/>
      <c r="I849" s="49"/>
      <c r="M849" s="45"/>
      <c r="N849" s="45"/>
      <c r="O849" s="45"/>
      <c r="P849" s="8"/>
      <c r="Q849" s="8"/>
    </row>
    <row r="850" ht="12.75">
      <c r="E850" s="8"/>
      <c r="F850" s="8"/>
      <c r="G850" s="8"/>
      <c r="H850" s="48"/>
      <c r="I850" s="49"/>
      <c r="M850" s="45"/>
      <c r="N850" s="45"/>
      <c r="O850" s="45"/>
      <c r="P850" s="8"/>
      <c r="Q850" s="8"/>
    </row>
    <row r="851" ht="12.75">
      <c r="E851" s="8"/>
      <c r="F851" s="8"/>
      <c r="G851" s="8"/>
      <c r="H851" s="48"/>
      <c r="I851" s="49"/>
      <c r="M851" s="45"/>
      <c r="N851" s="45"/>
      <c r="O851" s="45"/>
      <c r="P851" s="8"/>
      <c r="Q851" s="8"/>
    </row>
    <row r="852" ht="12.75">
      <c r="E852" s="8"/>
      <c r="F852" s="8"/>
      <c r="G852" s="8"/>
      <c r="H852" s="48"/>
      <c r="I852" s="49"/>
      <c r="M852" s="45"/>
      <c r="N852" s="45"/>
      <c r="O852" s="45"/>
      <c r="P852" s="8"/>
      <c r="Q852" s="8"/>
    </row>
    <row r="853" ht="12.75">
      <c r="E853" s="8"/>
      <c r="F853" s="8"/>
      <c r="G853" s="8"/>
      <c r="H853" s="48"/>
      <c r="I853" s="49"/>
      <c r="M853" s="45"/>
      <c r="N853" s="45"/>
      <c r="O853" s="45"/>
      <c r="P853" s="8"/>
      <c r="Q853" s="8"/>
    </row>
    <row r="854" ht="12.75">
      <c r="E854" s="8"/>
      <c r="F854" s="8"/>
      <c r="G854" s="8"/>
      <c r="H854" s="48"/>
      <c r="I854" s="49"/>
      <c r="M854" s="45"/>
      <c r="N854" s="45"/>
      <c r="O854" s="45"/>
      <c r="P854" s="8"/>
      <c r="Q854" s="8"/>
    </row>
    <row r="855" ht="12.75">
      <c r="E855" s="8"/>
      <c r="F855" s="8"/>
      <c r="G855" s="8"/>
      <c r="H855" s="48"/>
      <c r="I855" s="49"/>
      <c r="M855" s="45"/>
      <c r="N855" s="45"/>
      <c r="O855" s="45"/>
      <c r="P855" s="8"/>
      <c r="Q855" s="8"/>
    </row>
    <row r="856" ht="12.75">
      <c r="E856" s="8"/>
      <c r="F856" s="8"/>
      <c r="G856" s="8"/>
      <c r="H856" s="48"/>
      <c r="I856" s="49"/>
      <c r="M856" s="45"/>
      <c r="N856" s="45"/>
      <c r="O856" s="45"/>
      <c r="P856" s="8"/>
      <c r="Q856" s="8"/>
    </row>
    <row r="857" ht="12.75">
      <c r="E857" s="8"/>
      <c r="F857" s="8"/>
      <c r="G857" s="8"/>
      <c r="H857" s="48"/>
      <c r="I857" s="49"/>
      <c r="M857" s="45"/>
      <c r="N857" s="45"/>
      <c r="O857" s="45"/>
      <c r="P857" s="8"/>
      <c r="Q857" s="8"/>
    </row>
    <row r="858" ht="12.75">
      <c r="E858" s="8"/>
      <c r="F858" s="8"/>
      <c r="G858" s="8"/>
      <c r="H858" s="48"/>
      <c r="I858" s="49"/>
      <c r="M858" s="45"/>
      <c r="N858" s="45"/>
      <c r="O858" s="45"/>
      <c r="P858" s="8"/>
      <c r="Q858" s="8"/>
    </row>
    <row r="859" ht="12.75">
      <c r="E859" s="8"/>
      <c r="F859" s="8"/>
      <c r="G859" s="8"/>
      <c r="H859" s="48"/>
      <c r="I859" s="49"/>
      <c r="M859" s="45"/>
      <c r="N859" s="45"/>
      <c r="O859" s="45"/>
      <c r="P859" s="8"/>
      <c r="Q859" s="8"/>
    </row>
    <row r="860" ht="12.75">
      <c r="E860" s="8"/>
      <c r="F860" s="8"/>
      <c r="G860" s="8"/>
      <c r="H860" s="48"/>
      <c r="I860" s="49"/>
      <c r="M860" s="45"/>
      <c r="N860" s="45"/>
      <c r="O860" s="45"/>
      <c r="P860" s="8"/>
      <c r="Q860" s="8"/>
    </row>
    <row r="861" ht="12.75">
      <c r="E861" s="8"/>
      <c r="F861" s="8"/>
      <c r="G861" s="8"/>
      <c r="H861" s="48"/>
      <c r="I861" s="49"/>
      <c r="M861" s="45"/>
      <c r="N861" s="45"/>
      <c r="O861" s="45"/>
      <c r="P861" s="8"/>
      <c r="Q861" s="8"/>
    </row>
    <row r="862" ht="12.75">
      <c r="E862" s="8"/>
      <c r="F862" s="8"/>
      <c r="G862" s="8"/>
      <c r="H862" s="48"/>
      <c r="I862" s="49"/>
      <c r="M862" s="45"/>
      <c r="N862" s="45"/>
      <c r="O862" s="45"/>
      <c r="P862" s="8"/>
      <c r="Q862" s="8"/>
    </row>
    <row r="863" ht="12.75">
      <c r="E863" s="8"/>
      <c r="F863" s="8"/>
      <c r="G863" s="8"/>
      <c r="H863" s="48"/>
      <c r="I863" s="49"/>
      <c r="M863" s="45"/>
      <c r="N863" s="45"/>
      <c r="O863" s="45"/>
      <c r="P863" s="8"/>
      <c r="Q863" s="8"/>
    </row>
    <row r="864" ht="12.75">
      <c r="E864" s="8"/>
      <c r="F864" s="8"/>
      <c r="G864" s="8"/>
      <c r="H864" s="48"/>
      <c r="I864" s="49"/>
      <c r="M864" s="45"/>
      <c r="N864" s="45"/>
      <c r="O864" s="45"/>
      <c r="P864" s="8"/>
      <c r="Q864" s="8"/>
    </row>
    <row r="865" ht="12.75">
      <c r="E865" s="8"/>
      <c r="F865" s="8"/>
      <c r="G865" s="8"/>
      <c r="H865" s="48"/>
      <c r="I865" s="49"/>
      <c r="M865" s="45"/>
      <c r="N865" s="45"/>
      <c r="O865" s="45"/>
      <c r="P865" s="8"/>
      <c r="Q865" s="8"/>
    </row>
    <row r="866" ht="12.75">
      <c r="E866" s="8"/>
      <c r="F866" s="8"/>
      <c r="G866" s="8"/>
      <c r="H866" s="48"/>
      <c r="I866" s="49"/>
      <c r="M866" s="45"/>
      <c r="N866" s="45"/>
      <c r="O866" s="45"/>
      <c r="P866" s="8"/>
      <c r="Q866" s="8"/>
    </row>
    <row r="867" ht="12.75">
      <c r="E867" s="8"/>
      <c r="F867" s="8"/>
      <c r="G867" s="8"/>
      <c r="H867" s="48"/>
      <c r="I867" s="49"/>
      <c r="M867" s="45"/>
      <c r="N867" s="45"/>
      <c r="O867" s="45"/>
      <c r="P867" s="8"/>
      <c r="Q867" s="8"/>
    </row>
    <row r="868" ht="12.75">
      <c r="E868" s="8"/>
      <c r="F868" s="8"/>
      <c r="G868" s="8"/>
      <c r="H868" s="48"/>
      <c r="I868" s="49"/>
      <c r="M868" s="45"/>
      <c r="N868" s="45"/>
      <c r="O868" s="45"/>
      <c r="P868" s="8"/>
      <c r="Q868" s="8"/>
    </row>
    <row r="869" ht="12.75">
      <c r="E869" s="8"/>
      <c r="F869" s="8"/>
      <c r="G869" s="8"/>
      <c r="H869" s="48"/>
      <c r="I869" s="49"/>
      <c r="M869" s="45"/>
      <c r="N869" s="45"/>
      <c r="O869" s="45"/>
      <c r="P869" s="8"/>
      <c r="Q869" s="8"/>
    </row>
    <row r="870" ht="12.75">
      <c r="E870" s="8"/>
      <c r="F870" s="8"/>
      <c r="G870" s="8"/>
      <c r="H870" s="48"/>
      <c r="I870" s="49"/>
      <c r="M870" s="45"/>
      <c r="N870" s="45"/>
      <c r="O870" s="45"/>
      <c r="P870" s="8"/>
      <c r="Q870" s="8"/>
    </row>
    <row r="871" ht="12.75">
      <c r="E871" s="8"/>
      <c r="F871" s="8"/>
      <c r="G871" s="8"/>
      <c r="H871" s="48"/>
      <c r="I871" s="49"/>
      <c r="M871" s="45"/>
      <c r="N871" s="45"/>
      <c r="O871" s="45"/>
      <c r="P871" s="8"/>
      <c r="Q871" s="8"/>
    </row>
    <row r="872" ht="12.75">
      <c r="E872" s="8"/>
      <c r="F872" s="8"/>
      <c r="G872" s="8"/>
      <c r="H872" s="48"/>
      <c r="I872" s="49"/>
      <c r="M872" s="45"/>
      <c r="N872" s="45"/>
      <c r="O872" s="45"/>
      <c r="P872" s="8"/>
      <c r="Q872" s="8"/>
    </row>
    <row r="873" ht="12.75">
      <c r="E873" s="8"/>
      <c r="F873" s="8"/>
      <c r="G873" s="8"/>
      <c r="H873" s="48"/>
      <c r="I873" s="49"/>
      <c r="M873" s="45"/>
      <c r="N873" s="45"/>
      <c r="O873" s="45"/>
      <c r="P873" s="8"/>
      <c r="Q873" s="8"/>
    </row>
    <row r="874" ht="12.75">
      <c r="E874" s="8"/>
      <c r="F874" s="8"/>
      <c r="G874" s="8"/>
      <c r="H874" s="48"/>
      <c r="I874" s="49"/>
      <c r="M874" s="45"/>
      <c r="N874" s="45"/>
      <c r="O874" s="45"/>
      <c r="P874" s="8"/>
      <c r="Q874" s="8"/>
    </row>
    <row r="875" ht="12.75">
      <c r="E875" s="8"/>
      <c r="F875" s="8"/>
      <c r="G875" s="8"/>
      <c r="H875" s="48"/>
      <c r="I875" s="49"/>
      <c r="M875" s="45"/>
      <c r="N875" s="45"/>
      <c r="O875" s="45"/>
      <c r="P875" s="8"/>
      <c r="Q875" s="8"/>
    </row>
    <row r="876" ht="12.75">
      <c r="E876" s="8"/>
      <c r="F876" s="8"/>
      <c r="G876" s="8"/>
      <c r="H876" s="48"/>
      <c r="I876" s="49"/>
      <c r="M876" s="45"/>
      <c r="N876" s="45"/>
      <c r="O876" s="45"/>
      <c r="P876" s="8"/>
      <c r="Q876" s="8"/>
    </row>
    <row r="877" ht="12.75">
      <c r="E877" s="8"/>
      <c r="F877" s="8"/>
      <c r="G877" s="8"/>
      <c r="H877" s="48"/>
      <c r="I877" s="49"/>
      <c r="M877" s="45"/>
      <c r="N877" s="45"/>
      <c r="O877" s="45"/>
      <c r="P877" s="8"/>
      <c r="Q877" s="8"/>
    </row>
    <row r="878" ht="12.75">
      <c r="E878" s="8"/>
      <c r="F878" s="8"/>
      <c r="G878" s="8"/>
      <c r="H878" s="48"/>
      <c r="I878" s="49"/>
      <c r="M878" s="45"/>
      <c r="N878" s="45"/>
      <c r="O878" s="45"/>
      <c r="P878" s="8"/>
      <c r="Q878" s="8"/>
    </row>
    <row r="879" ht="12.75">
      <c r="E879" s="8"/>
      <c r="F879" s="8"/>
      <c r="G879" s="8"/>
      <c r="H879" s="48"/>
      <c r="I879" s="49"/>
      <c r="M879" s="45"/>
      <c r="N879" s="45"/>
      <c r="O879" s="45"/>
      <c r="P879" s="8"/>
      <c r="Q879" s="8"/>
    </row>
    <row r="880" ht="12.75">
      <c r="E880" s="8"/>
      <c r="F880" s="8"/>
      <c r="G880" s="8"/>
      <c r="H880" s="48"/>
      <c r="I880" s="49"/>
      <c r="M880" s="45"/>
      <c r="N880" s="45"/>
      <c r="O880" s="45"/>
      <c r="P880" s="8"/>
      <c r="Q880" s="8"/>
    </row>
    <row r="881" ht="12.75">
      <c r="E881" s="8"/>
      <c r="F881" s="8"/>
      <c r="G881" s="8"/>
      <c r="H881" s="48"/>
      <c r="I881" s="49"/>
      <c r="M881" s="45"/>
      <c r="N881" s="45"/>
      <c r="O881" s="45"/>
      <c r="P881" s="8"/>
      <c r="Q881" s="8"/>
    </row>
    <row r="882" ht="12.75">
      <c r="E882" s="8"/>
      <c r="F882" s="8"/>
      <c r="G882" s="8"/>
      <c r="H882" s="48"/>
      <c r="I882" s="49"/>
      <c r="M882" s="45"/>
      <c r="N882" s="45"/>
      <c r="O882" s="45"/>
      <c r="P882" s="8"/>
      <c r="Q882" s="8"/>
    </row>
    <row r="883" ht="12.75">
      <c r="E883" s="8"/>
      <c r="F883" s="8"/>
      <c r="G883" s="8"/>
      <c r="H883" s="48"/>
      <c r="I883" s="49"/>
      <c r="M883" s="45"/>
      <c r="N883" s="45"/>
      <c r="O883" s="45"/>
      <c r="P883" s="8"/>
      <c r="Q883" s="8"/>
    </row>
    <row r="884" ht="12.75">
      <c r="E884" s="8"/>
      <c r="F884" s="8"/>
      <c r="G884" s="8"/>
      <c r="H884" s="48"/>
      <c r="I884" s="49"/>
      <c r="M884" s="45"/>
      <c r="N884" s="45"/>
      <c r="O884" s="45"/>
      <c r="P884" s="8"/>
      <c r="Q884" s="8"/>
    </row>
    <row r="885" ht="12.75">
      <c r="E885" s="8"/>
      <c r="F885" s="8"/>
      <c r="G885" s="8"/>
      <c r="H885" s="48"/>
      <c r="I885" s="49"/>
      <c r="M885" s="45"/>
      <c r="N885" s="45"/>
      <c r="O885" s="45"/>
      <c r="P885" s="8"/>
      <c r="Q885" s="8"/>
    </row>
    <row r="886" ht="12.75">
      <c r="E886" s="8"/>
      <c r="F886" s="8"/>
      <c r="G886" s="8"/>
      <c r="H886" s="48"/>
      <c r="I886" s="49"/>
      <c r="M886" s="45"/>
      <c r="N886" s="45"/>
      <c r="O886" s="45"/>
      <c r="P886" s="8"/>
      <c r="Q886" s="8"/>
    </row>
    <row r="887" ht="12.75">
      <c r="E887" s="8"/>
      <c r="F887" s="8"/>
      <c r="G887" s="8"/>
      <c r="H887" s="48"/>
      <c r="I887" s="49"/>
      <c r="M887" s="45"/>
      <c r="N887" s="45"/>
      <c r="O887" s="45"/>
      <c r="P887" s="8"/>
      <c r="Q887" s="8"/>
    </row>
    <row r="888" ht="12.75">
      <c r="E888" s="8"/>
      <c r="F888" s="8"/>
      <c r="G888" s="8"/>
      <c r="H888" s="48"/>
      <c r="I888" s="49"/>
      <c r="M888" s="45"/>
      <c r="N888" s="45"/>
      <c r="O888" s="45"/>
      <c r="P888" s="8"/>
      <c r="Q888" s="8"/>
    </row>
    <row r="889" ht="12.75">
      <c r="E889" s="8"/>
      <c r="F889" s="8"/>
      <c r="G889" s="8"/>
      <c r="H889" s="48"/>
      <c r="I889" s="49"/>
      <c r="M889" s="45"/>
      <c r="N889" s="45"/>
      <c r="O889" s="45"/>
      <c r="P889" s="8"/>
      <c r="Q889" s="8"/>
    </row>
    <row r="890" ht="12.75">
      <c r="E890" s="8"/>
      <c r="F890" s="8"/>
      <c r="G890" s="8"/>
      <c r="H890" s="48"/>
      <c r="I890" s="49"/>
      <c r="M890" s="45"/>
      <c r="N890" s="45"/>
      <c r="O890" s="45"/>
      <c r="P890" s="8"/>
      <c r="Q890" s="8"/>
    </row>
    <row r="891" ht="12.75">
      <c r="E891" s="8"/>
      <c r="F891" s="8"/>
      <c r="G891" s="8"/>
      <c r="H891" s="48"/>
      <c r="I891" s="49"/>
      <c r="M891" s="45"/>
      <c r="N891" s="45"/>
      <c r="O891" s="45"/>
      <c r="P891" s="8"/>
      <c r="Q891" s="8"/>
    </row>
    <row r="892" ht="12.75">
      <c r="E892" s="8"/>
      <c r="F892" s="8"/>
      <c r="G892" s="8"/>
      <c r="H892" s="48"/>
      <c r="I892" s="49"/>
      <c r="M892" s="45"/>
      <c r="N892" s="45"/>
      <c r="O892" s="45"/>
      <c r="P892" s="8"/>
      <c r="Q892" s="8"/>
    </row>
    <row r="893" ht="12.75">
      <c r="E893" s="8"/>
      <c r="F893" s="8"/>
      <c r="G893" s="8"/>
      <c r="H893" s="48"/>
      <c r="I893" s="49"/>
      <c r="M893" s="45"/>
      <c r="N893" s="45"/>
      <c r="O893" s="45"/>
      <c r="P893" s="8"/>
      <c r="Q893" s="8"/>
    </row>
    <row r="894" ht="12.75">
      <c r="E894" s="8"/>
      <c r="F894" s="8"/>
      <c r="G894" s="8"/>
      <c r="H894" s="48"/>
      <c r="I894" s="49"/>
      <c r="M894" s="45"/>
      <c r="N894" s="45"/>
      <c r="O894" s="45"/>
      <c r="P894" s="8"/>
      <c r="Q894" s="8"/>
    </row>
    <row r="895" ht="12.75">
      <c r="E895" s="8"/>
      <c r="F895" s="8"/>
      <c r="G895" s="8"/>
      <c r="H895" s="48"/>
      <c r="I895" s="49"/>
      <c r="M895" s="45"/>
      <c r="N895" s="45"/>
      <c r="O895" s="45"/>
      <c r="P895" s="8"/>
      <c r="Q895" s="8"/>
    </row>
    <row r="896" ht="12.75">
      <c r="E896" s="8"/>
      <c r="F896" s="8"/>
      <c r="G896" s="8"/>
      <c r="H896" s="48"/>
      <c r="I896" s="49"/>
      <c r="M896" s="45"/>
      <c r="N896" s="45"/>
      <c r="O896" s="45"/>
      <c r="P896" s="8"/>
      <c r="Q896" s="8"/>
    </row>
    <row r="897" ht="12.75">
      <c r="E897" s="8"/>
      <c r="F897" s="8"/>
      <c r="G897" s="8"/>
      <c r="H897" s="48"/>
      <c r="I897" s="49"/>
      <c r="M897" s="45"/>
      <c r="N897" s="45"/>
      <c r="O897" s="45"/>
      <c r="P897" s="8"/>
      <c r="Q897" s="8"/>
    </row>
    <row r="898" ht="12.75">
      <c r="E898" s="8"/>
      <c r="F898" s="8"/>
      <c r="G898" s="8"/>
      <c r="H898" s="48"/>
      <c r="I898" s="49"/>
      <c r="M898" s="45"/>
      <c r="N898" s="45"/>
      <c r="O898" s="45"/>
      <c r="P898" s="8"/>
      <c r="Q898" s="8"/>
    </row>
    <row r="899" ht="12.75">
      <c r="E899" s="8"/>
      <c r="F899" s="8"/>
      <c r="G899" s="8"/>
      <c r="H899" s="48"/>
      <c r="I899" s="49"/>
      <c r="M899" s="45"/>
      <c r="N899" s="45"/>
      <c r="O899" s="45"/>
      <c r="P899" s="8"/>
      <c r="Q899" s="8"/>
    </row>
    <row r="900" ht="12.75">
      <c r="E900" s="8"/>
      <c r="F900" s="8"/>
      <c r="G900" s="8"/>
      <c r="H900" s="48"/>
      <c r="I900" s="49"/>
      <c r="M900" s="45"/>
      <c r="N900" s="45"/>
      <c r="O900" s="45"/>
      <c r="P900" s="8"/>
      <c r="Q900" s="8"/>
    </row>
    <row r="901" ht="12.75">
      <c r="E901" s="8"/>
      <c r="F901" s="8"/>
      <c r="G901" s="8"/>
      <c r="H901" s="48"/>
      <c r="I901" s="49"/>
      <c r="M901" s="45"/>
      <c r="N901" s="45"/>
      <c r="O901" s="45"/>
      <c r="P901" s="8"/>
      <c r="Q901" s="8"/>
    </row>
    <row r="902" ht="12.75">
      <c r="E902" s="8"/>
      <c r="F902" s="8"/>
      <c r="G902" s="8"/>
      <c r="H902" s="48"/>
      <c r="I902" s="49"/>
      <c r="M902" s="45"/>
      <c r="N902" s="45"/>
      <c r="O902" s="45"/>
      <c r="P902" s="8"/>
      <c r="Q902" s="8"/>
    </row>
    <row r="903" ht="12.75">
      <c r="E903" s="8"/>
      <c r="F903" s="8"/>
      <c r="G903" s="8"/>
      <c r="H903" s="48"/>
      <c r="I903" s="49"/>
      <c r="M903" s="45"/>
      <c r="N903" s="45"/>
      <c r="O903" s="45"/>
      <c r="P903" s="8"/>
      <c r="Q903" s="8"/>
    </row>
    <row r="904" ht="12.75">
      <c r="E904" s="8"/>
      <c r="F904" s="8"/>
      <c r="G904" s="8"/>
      <c r="H904" s="48"/>
      <c r="I904" s="49"/>
      <c r="M904" s="45"/>
      <c r="N904" s="45"/>
      <c r="O904" s="45"/>
      <c r="P904" s="8"/>
      <c r="Q904" s="8"/>
    </row>
    <row r="905" ht="12.75">
      <c r="E905" s="8"/>
      <c r="F905" s="8"/>
      <c r="G905" s="8"/>
      <c r="H905" s="48"/>
      <c r="I905" s="49"/>
      <c r="M905" s="45"/>
      <c r="N905" s="45"/>
      <c r="O905" s="45"/>
      <c r="P905" s="8"/>
      <c r="Q905" s="8"/>
    </row>
    <row r="906" ht="12.75">
      <c r="E906" s="8"/>
      <c r="F906" s="8"/>
      <c r="G906" s="8"/>
      <c r="H906" s="48"/>
      <c r="I906" s="49"/>
      <c r="M906" s="45"/>
      <c r="N906" s="45"/>
      <c r="O906" s="45"/>
      <c r="P906" s="8"/>
      <c r="Q906" s="8"/>
    </row>
    <row r="907" ht="12.75">
      <c r="E907" s="8"/>
      <c r="F907" s="8"/>
      <c r="G907" s="8"/>
      <c r="H907" s="48"/>
      <c r="I907" s="49"/>
      <c r="M907" s="45"/>
      <c r="N907" s="45"/>
      <c r="O907" s="45"/>
      <c r="P907" s="8"/>
      <c r="Q907" s="8"/>
    </row>
    <row r="908" ht="12.75">
      <c r="E908" s="8"/>
      <c r="F908" s="8"/>
      <c r="G908" s="8"/>
      <c r="H908" s="48"/>
      <c r="I908" s="49"/>
      <c r="M908" s="45"/>
      <c r="N908" s="45"/>
      <c r="O908" s="45"/>
      <c r="P908" s="8"/>
      <c r="Q908" s="8"/>
    </row>
    <row r="909" ht="12.75">
      <c r="E909" s="8"/>
      <c r="F909" s="8"/>
      <c r="G909" s="8"/>
      <c r="H909" s="48"/>
      <c r="I909" s="49"/>
      <c r="M909" s="45"/>
      <c r="N909" s="45"/>
      <c r="O909" s="45"/>
      <c r="P909" s="8"/>
      <c r="Q909" s="8"/>
    </row>
    <row r="910" ht="12.75">
      <c r="E910" s="8"/>
      <c r="F910" s="8"/>
      <c r="G910" s="8"/>
      <c r="H910" s="48"/>
      <c r="I910" s="49"/>
      <c r="M910" s="45"/>
      <c r="N910" s="45"/>
      <c r="O910" s="45"/>
      <c r="P910" s="8"/>
      <c r="Q910" s="8"/>
    </row>
    <row r="911" ht="12.75">
      <c r="E911" s="8"/>
      <c r="F911" s="8"/>
      <c r="G911" s="8"/>
      <c r="H911" s="48"/>
      <c r="I911" s="49"/>
      <c r="M911" s="45"/>
      <c r="N911" s="45"/>
      <c r="O911" s="45"/>
      <c r="P911" s="8"/>
      <c r="Q911" s="8"/>
    </row>
    <row r="912" ht="12.75">
      <c r="E912" s="8"/>
      <c r="F912" s="8"/>
      <c r="G912" s="8"/>
      <c r="H912" s="48"/>
      <c r="I912" s="49"/>
      <c r="M912" s="45"/>
      <c r="N912" s="45"/>
      <c r="O912" s="45"/>
      <c r="P912" s="8"/>
      <c r="Q912" s="8"/>
    </row>
    <row r="913" ht="12.75">
      <c r="E913" s="8"/>
      <c r="F913" s="8"/>
      <c r="G913" s="8"/>
      <c r="H913" s="48"/>
      <c r="I913" s="49"/>
      <c r="M913" s="45"/>
      <c r="N913" s="45"/>
      <c r="O913" s="45"/>
      <c r="P913" s="8"/>
      <c r="Q913" s="8"/>
    </row>
    <row r="914" ht="12.75">
      <c r="E914" s="8"/>
      <c r="F914" s="8"/>
      <c r="G914" s="8"/>
      <c r="H914" s="48"/>
      <c r="I914" s="49"/>
      <c r="M914" s="45"/>
      <c r="N914" s="45"/>
      <c r="O914" s="45"/>
      <c r="P914" s="8"/>
      <c r="Q914" s="8"/>
    </row>
    <row r="915" ht="12.75">
      <c r="E915" s="8"/>
      <c r="F915" s="8"/>
      <c r="G915" s="8"/>
      <c r="H915" s="48"/>
      <c r="I915" s="49"/>
      <c r="M915" s="45"/>
      <c r="N915" s="45"/>
      <c r="O915" s="45"/>
      <c r="P915" s="8"/>
      <c r="Q915" s="8"/>
    </row>
    <row r="916" ht="12.75">
      <c r="E916" s="8"/>
      <c r="F916" s="8"/>
      <c r="G916" s="8"/>
      <c r="H916" s="48"/>
      <c r="I916" s="49"/>
      <c r="M916" s="45"/>
      <c r="N916" s="45"/>
      <c r="O916" s="45"/>
      <c r="P916" s="8"/>
      <c r="Q916" s="8"/>
    </row>
    <row r="917" ht="12.75">
      <c r="E917" s="8"/>
      <c r="F917" s="8"/>
      <c r="G917" s="8"/>
      <c r="H917" s="48"/>
      <c r="I917" s="49"/>
      <c r="M917" s="45"/>
      <c r="N917" s="45"/>
      <c r="O917" s="45"/>
      <c r="P917" s="8"/>
      <c r="Q917" s="8"/>
    </row>
    <row r="918" ht="12.75">
      <c r="E918" s="8"/>
      <c r="F918" s="8"/>
      <c r="G918" s="8"/>
      <c r="H918" s="48"/>
      <c r="I918" s="49"/>
      <c r="M918" s="45"/>
      <c r="N918" s="45"/>
      <c r="O918" s="45"/>
      <c r="P918" s="8"/>
      <c r="Q918" s="8"/>
    </row>
    <row r="919" ht="12.75">
      <c r="E919" s="8"/>
      <c r="F919" s="8"/>
      <c r="G919" s="8"/>
      <c r="H919" s="48"/>
      <c r="I919" s="49"/>
      <c r="M919" s="45"/>
      <c r="N919" s="45"/>
      <c r="O919" s="45"/>
      <c r="P919" s="8"/>
      <c r="Q919" s="8"/>
    </row>
    <row r="920" ht="12.75">
      <c r="E920" s="8"/>
      <c r="F920" s="8"/>
      <c r="G920" s="8"/>
      <c r="H920" s="48"/>
      <c r="I920" s="49"/>
      <c r="M920" s="45"/>
      <c r="N920" s="45"/>
      <c r="O920" s="45"/>
      <c r="P920" s="8"/>
      <c r="Q920" s="8"/>
    </row>
    <row r="921" ht="12.75">
      <c r="E921" s="8"/>
      <c r="F921" s="8"/>
      <c r="G921" s="8"/>
      <c r="H921" s="48"/>
      <c r="I921" s="49"/>
      <c r="M921" s="45"/>
      <c r="N921" s="45"/>
      <c r="O921" s="45"/>
      <c r="P921" s="8"/>
      <c r="Q921" s="8"/>
    </row>
    <row r="922" ht="12.75">
      <c r="E922" s="8"/>
      <c r="F922" s="8"/>
      <c r="G922" s="8"/>
      <c r="H922" s="48"/>
      <c r="I922" s="49"/>
      <c r="M922" s="45"/>
      <c r="N922" s="45"/>
      <c r="O922" s="45"/>
      <c r="P922" s="8"/>
      <c r="Q922" s="8"/>
    </row>
    <row r="923" ht="12.75">
      <c r="E923" s="8"/>
      <c r="F923" s="8"/>
      <c r="G923" s="8"/>
      <c r="H923" s="48"/>
      <c r="I923" s="49"/>
      <c r="M923" s="45"/>
      <c r="N923" s="45"/>
      <c r="O923" s="45"/>
      <c r="P923" s="8"/>
      <c r="Q923" s="8"/>
    </row>
    <row r="924" ht="12.75">
      <c r="E924" s="8"/>
      <c r="F924" s="8"/>
      <c r="G924" s="8"/>
      <c r="H924" s="48"/>
      <c r="I924" s="49"/>
      <c r="M924" s="45"/>
      <c r="N924" s="45"/>
      <c r="O924" s="45"/>
      <c r="P924" s="8"/>
      <c r="Q924" s="8"/>
    </row>
    <row r="925" ht="12.75">
      <c r="E925" s="8"/>
      <c r="F925" s="8"/>
      <c r="G925" s="8"/>
      <c r="H925" s="48"/>
      <c r="I925" s="49"/>
      <c r="M925" s="45"/>
      <c r="N925" s="45"/>
      <c r="O925" s="45"/>
      <c r="P925" s="8"/>
      <c r="Q925" s="8"/>
    </row>
    <row r="926" ht="12.75">
      <c r="E926" s="8"/>
      <c r="F926" s="8"/>
      <c r="G926" s="8"/>
      <c r="H926" s="48"/>
      <c r="I926" s="49"/>
      <c r="M926" s="45"/>
      <c r="N926" s="45"/>
      <c r="O926" s="45"/>
      <c r="P926" s="8"/>
      <c r="Q926" s="8"/>
    </row>
    <row r="927" ht="12.75">
      <c r="E927" s="8"/>
      <c r="F927" s="8"/>
      <c r="G927" s="8"/>
      <c r="H927" s="48"/>
      <c r="I927" s="49"/>
      <c r="M927" s="45"/>
      <c r="N927" s="45"/>
      <c r="O927" s="45"/>
      <c r="P927" s="8"/>
      <c r="Q927" s="8"/>
    </row>
    <row r="928" ht="12.75">
      <c r="E928" s="8"/>
      <c r="F928" s="8"/>
      <c r="G928" s="8"/>
      <c r="H928" s="48"/>
      <c r="I928" s="49"/>
      <c r="M928" s="45"/>
      <c r="N928" s="45"/>
      <c r="O928" s="45"/>
      <c r="P928" s="8"/>
      <c r="Q928" s="8"/>
    </row>
    <row r="929" ht="12.75">
      <c r="E929" s="8"/>
      <c r="F929" s="8"/>
      <c r="G929" s="8"/>
      <c r="H929" s="48"/>
      <c r="I929" s="49"/>
      <c r="M929" s="45"/>
      <c r="N929" s="45"/>
      <c r="O929" s="45"/>
      <c r="P929" s="8"/>
      <c r="Q929" s="8"/>
    </row>
    <row r="930" ht="12.75">
      <c r="E930" s="8"/>
      <c r="F930" s="8"/>
      <c r="G930" s="8"/>
      <c r="H930" s="48"/>
      <c r="I930" s="49"/>
      <c r="M930" s="45"/>
      <c r="N930" s="45"/>
      <c r="O930" s="45"/>
      <c r="P930" s="8"/>
      <c r="Q930" s="8"/>
    </row>
    <row r="931" ht="12.75">
      <c r="E931" s="8"/>
      <c r="F931" s="8"/>
      <c r="G931" s="8"/>
      <c r="H931" s="48"/>
      <c r="I931" s="49"/>
      <c r="M931" s="45"/>
      <c r="N931" s="45"/>
      <c r="O931" s="45"/>
      <c r="P931" s="8"/>
      <c r="Q931" s="8"/>
    </row>
    <row r="932" ht="12.75">
      <c r="E932" s="8"/>
      <c r="F932" s="8"/>
      <c r="G932" s="8"/>
      <c r="H932" s="48"/>
      <c r="I932" s="49"/>
      <c r="M932" s="45"/>
      <c r="N932" s="45"/>
      <c r="O932" s="45"/>
      <c r="P932" s="8"/>
      <c r="Q932" s="8"/>
    </row>
    <row r="933" ht="12.75">
      <c r="E933" s="8"/>
      <c r="F933" s="8"/>
      <c r="G933" s="8"/>
      <c r="H933" s="48"/>
      <c r="I933" s="49"/>
      <c r="M933" s="45"/>
      <c r="N933" s="45"/>
      <c r="O933" s="45"/>
      <c r="P933" s="8"/>
      <c r="Q933" s="8"/>
    </row>
    <row r="934" ht="12.75">
      <c r="E934" s="8"/>
      <c r="F934" s="8"/>
      <c r="G934" s="8"/>
      <c r="H934" s="48"/>
      <c r="I934" s="49"/>
      <c r="M934" s="45"/>
      <c r="N934" s="45"/>
      <c r="O934" s="45"/>
      <c r="P934" s="8"/>
      <c r="Q934" s="8"/>
    </row>
    <row r="935" ht="12.75">
      <c r="E935" s="8"/>
      <c r="F935" s="8"/>
      <c r="G935" s="8"/>
      <c r="H935" s="48"/>
      <c r="I935" s="49"/>
      <c r="M935" s="45"/>
      <c r="N935" s="45"/>
      <c r="O935" s="45"/>
      <c r="P935" s="8"/>
      <c r="Q935" s="8"/>
    </row>
    <row r="936" ht="12.75">
      <c r="E936" s="8"/>
      <c r="F936" s="8"/>
      <c r="G936" s="8"/>
      <c r="H936" s="48"/>
      <c r="I936" s="49"/>
      <c r="M936" s="45"/>
      <c r="N936" s="45"/>
      <c r="O936" s="45"/>
      <c r="P936" s="8"/>
      <c r="Q936" s="8"/>
    </row>
    <row r="937" ht="12.75">
      <c r="E937" s="8"/>
      <c r="F937" s="8"/>
      <c r="G937" s="8"/>
      <c r="H937" s="48"/>
      <c r="I937" s="49"/>
      <c r="M937" s="45"/>
      <c r="N937" s="45"/>
      <c r="O937" s="45"/>
      <c r="P937" s="8"/>
      <c r="Q937" s="8"/>
    </row>
    <row r="938" ht="12.75">
      <c r="E938" s="8"/>
      <c r="F938" s="8"/>
      <c r="G938" s="8"/>
      <c r="H938" s="48"/>
      <c r="I938" s="49"/>
      <c r="M938" s="45"/>
      <c r="N938" s="45"/>
      <c r="O938" s="45"/>
      <c r="P938" s="8"/>
      <c r="Q938" s="8"/>
    </row>
    <row r="939" ht="12.75">
      <c r="E939" s="8"/>
      <c r="F939" s="8"/>
      <c r="G939" s="8"/>
      <c r="H939" s="48"/>
      <c r="I939" s="49"/>
      <c r="M939" s="45"/>
      <c r="N939" s="45"/>
      <c r="O939" s="45"/>
      <c r="P939" s="8"/>
      <c r="Q939" s="8"/>
    </row>
    <row r="940" ht="12.75">
      <c r="E940" s="8"/>
      <c r="F940" s="8"/>
      <c r="G940" s="8"/>
      <c r="H940" s="48"/>
      <c r="I940" s="49"/>
      <c r="M940" s="45"/>
      <c r="N940" s="45"/>
      <c r="O940" s="45"/>
      <c r="P940" s="8"/>
      <c r="Q940" s="8"/>
    </row>
    <row r="941" ht="12.75">
      <c r="E941" s="8"/>
      <c r="F941" s="8"/>
      <c r="G941" s="8"/>
      <c r="H941" s="48"/>
      <c r="I941" s="49"/>
      <c r="M941" s="45"/>
      <c r="N941" s="45"/>
      <c r="O941" s="45"/>
      <c r="P941" s="8"/>
      <c r="Q941" s="8"/>
    </row>
    <row r="942" ht="12.75">
      <c r="E942" s="8"/>
      <c r="F942" s="8"/>
      <c r="G942" s="8"/>
      <c r="H942" s="48"/>
      <c r="I942" s="49"/>
      <c r="M942" s="45"/>
      <c r="N942" s="45"/>
      <c r="O942" s="45"/>
      <c r="P942" s="8"/>
      <c r="Q942" s="8"/>
    </row>
    <row r="943" ht="12.75">
      <c r="E943" s="8"/>
      <c r="F943" s="8"/>
      <c r="G943" s="8"/>
      <c r="H943" s="48"/>
      <c r="I943" s="49"/>
      <c r="M943" s="45"/>
      <c r="N943" s="45"/>
      <c r="O943" s="45"/>
      <c r="P943" s="8"/>
      <c r="Q943" s="8"/>
    </row>
    <row r="944" ht="12.75">
      <c r="E944" s="8"/>
      <c r="F944" s="8"/>
      <c r="G944" s="8"/>
      <c r="H944" s="48"/>
      <c r="I944" s="49"/>
      <c r="M944" s="45"/>
      <c r="N944" s="45"/>
      <c r="O944" s="45"/>
      <c r="P944" s="8"/>
      <c r="Q944" s="8"/>
    </row>
    <row r="945" ht="12.75">
      <c r="E945" s="8"/>
      <c r="F945" s="8"/>
      <c r="G945" s="8"/>
      <c r="H945" s="48"/>
      <c r="I945" s="49"/>
      <c r="M945" s="45"/>
      <c r="N945" s="45"/>
      <c r="O945" s="45"/>
      <c r="P945" s="8"/>
      <c r="Q945" s="8"/>
    </row>
    <row r="946" ht="12.75">
      <c r="E946" s="8"/>
      <c r="F946" s="8"/>
      <c r="G946" s="8"/>
      <c r="H946" s="48"/>
      <c r="I946" s="49"/>
      <c r="M946" s="45"/>
      <c r="N946" s="45"/>
      <c r="O946" s="45"/>
      <c r="P946" s="8"/>
      <c r="Q946" s="8"/>
    </row>
    <row r="947" ht="12.75">
      <c r="E947" s="8"/>
      <c r="F947" s="8"/>
      <c r="G947" s="8"/>
      <c r="H947" s="48"/>
      <c r="I947" s="49"/>
      <c r="M947" s="45"/>
      <c r="N947" s="45"/>
      <c r="O947" s="45"/>
      <c r="P947" s="8"/>
      <c r="Q947" s="8"/>
    </row>
    <row r="948" ht="12.75">
      <c r="E948" s="8"/>
      <c r="F948" s="8"/>
      <c r="G948" s="8"/>
      <c r="H948" s="48"/>
      <c r="I948" s="49"/>
      <c r="M948" s="45"/>
      <c r="N948" s="45"/>
      <c r="O948" s="45"/>
      <c r="P948" s="8"/>
      <c r="Q948" s="8"/>
    </row>
    <row r="949" ht="12.75">
      <c r="E949" s="8"/>
      <c r="F949" s="8"/>
      <c r="G949" s="8"/>
      <c r="H949" s="48"/>
      <c r="I949" s="49"/>
      <c r="M949" s="45"/>
      <c r="N949" s="45"/>
      <c r="O949" s="45"/>
      <c r="P949" s="8"/>
      <c r="Q949" s="8"/>
    </row>
    <row r="950" ht="12.75">
      <c r="E950" s="8"/>
      <c r="F950" s="8"/>
      <c r="G950" s="8"/>
      <c r="H950" s="48"/>
      <c r="I950" s="49"/>
      <c r="M950" s="45"/>
      <c r="N950" s="45"/>
      <c r="O950" s="45"/>
      <c r="P950" s="8"/>
      <c r="Q950" s="8"/>
    </row>
    <row r="951" ht="12.75">
      <c r="E951" s="8"/>
      <c r="F951" s="8"/>
      <c r="G951" s="8"/>
      <c r="H951" s="48"/>
      <c r="I951" s="49"/>
      <c r="M951" s="45"/>
      <c r="N951" s="45"/>
      <c r="O951" s="45"/>
      <c r="P951" s="8"/>
      <c r="Q951" s="8"/>
    </row>
    <row r="952" ht="12.75">
      <c r="E952" s="8"/>
      <c r="F952" s="8"/>
      <c r="G952" s="8"/>
      <c r="H952" s="48"/>
      <c r="I952" s="49"/>
      <c r="M952" s="45"/>
      <c r="N952" s="45"/>
      <c r="O952" s="45"/>
      <c r="P952" s="8"/>
      <c r="Q952" s="8"/>
    </row>
    <row r="953" ht="12.75">
      <c r="E953" s="8"/>
      <c r="F953" s="8"/>
      <c r="G953" s="8"/>
      <c r="H953" s="48"/>
      <c r="I953" s="49"/>
      <c r="M953" s="45"/>
      <c r="N953" s="45"/>
      <c r="O953" s="45"/>
      <c r="P953" s="8"/>
      <c r="Q953" s="8"/>
    </row>
    <row r="954" ht="12.75">
      <c r="E954" s="8"/>
      <c r="F954" s="8"/>
      <c r="G954" s="8"/>
      <c r="H954" s="48"/>
      <c r="I954" s="49"/>
      <c r="M954" s="45"/>
      <c r="N954" s="45"/>
      <c r="O954" s="45"/>
      <c r="P954" s="8"/>
      <c r="Q954" s="8"/>
    </row>
    <row r="955" ht="12.75">
      <c r="E955" s="8"/>
      <c r="F955" s="8"/>
      <c r="G955" s="8"/>
      <c r="H955" s="48"/>
      <c r="I955" s="49"/>
      <c r="M955" s="45"/>
      <c r="N955" s="45"/>
      <c r="O955" s="45"/>
      <c r="P955" s="8"/>
      <c r="Q955" s="8"/>
    </row>
    <row r="956" ht="12.75">
      <c r="E956" s="8"/>
      <c r="F956" s="8"/>
      <c r="G956" s="8"/>
      <c r="H956" s="48"/>
      <c r="I956" s="49"/>
      <c r="M956" s="45"/>
      <c r="N956" s="45"/>
      <c r="O956" s="45"/>
      <c r="P956" s="8"/>
      <c r="Q956" s="8"/>
    </row>
    <row r="957" ht="12.75">
      <c r="E957" s="8"/>
      <c r="F957" s="8"/>
      <c r="G957" s="8"/>
      <c r="H957" s="48"/>
      <c r="I957" s="49"/>
      <c r="M957" s="45"/>
      <c r="N957" s="45"/>
      <c r="O957" s="45"/>
      <c r="P957" s="8"/>
      <c r="Q957" s="8"/>
    </row>
    <row r="958" ht="12.75">
      <c r="E958" s="8"/>
      <c r="F958" s="8"/>
      <c r="G958" s="8"/>
      <c r="H958" s="48"/>
      <c r="I958" s="49"/>
      <c r="M958" s="45"/>
      <c r="N958" s="45"/>
      <c r="O958" s="45"/>
      <c r="P958" s="8"/>
      <c r="Q958" s="8"/>
    </row>
    <row r="959" ht="12.75">
      <c r="E959" s="8"/>
      <c r="F959" s="8"/>
      <c r="G959" s="8"/>
      <c r="H959" s="48"/>
      <c r="I959" s="49"/>
      <c r="M959" s="45"/>
      <c r="N959" s="45"/>
      <c r="O959" s="45"/>
      <c r="P959" s="8"/>
      <c r="Q959" s="8"/>
    </row>
    <row r="960" ht="12.75">
      <c r="E960" s="8"/>
      <c r="F960" s="8"/>
      <c r="G960" s="8"/>
      <c r="H960" s="48"/>
      <c r="I960" s="49"/>
      <c r="M960" s="45"/>
      <c r="N960" s="45"/>
      <c r="O960" s="45"/>
      <c r="P960" s="8"/>
      <c r="Q960" s="8"/>
    </row>
    <row r="961" ht="12.75">
      <c r="E961" s="8"/>
      <c r="F961" s="8"/>
      <c r="G961" s="8"/>
      <c r="H961" s="48"/>
      <c r="I961" s="49"/>
      <c r="M961" s="45"/>
      <c r="N961" s="45"/>
      <c r="O961" s="45"/>
      <c r="P961" s="8"/>
      <c r="Q961" s="8"/>
    </row>
    <row r="962" ht="12.75">
      <c r="E962" s="8"/>
      <c r="F962" s="8"/>
      <c r="G962" s="8"/>
      <c r="H962" s="48"/>
      <c r="I962" s="49"/>
      <c r="M962" s="45"/>
      <c r="N962" s="45"/>
      <c r="O962" s="45"/>
      <c r="P962" s="8"/>
      <c r="Q962" s="8"/>
    </row>
    <row r="963" ht="12.75">
      <c r="E963" s="8"/>
      <c r="F963" s="8"/>
      <c r="G963" s="8"/>
      <c r="H963" s="48"/>
      <c r="I963" s="49"/>
      <c r="M963" s="45"/>
      <c r="N963" s="45"/>
      <c r="O963" s="45"/>
      <c r="P963" s="8"/>
      <c r="Q963" s="8"/>
    </row>
    <row r="964" ht="12.75">
      <c r="E964" s="8"/>
      <c r="F964" s="8"/>
      <c r="G964" s="8"/>
      <c r="H964" s="48"/>
      <c r="I964" s="49"/>
      <c r="M964" s="45"/>
      <c r="N964" s="45"/>
      <c r="O964" s="45"/>
      <c r="P964" s="8"/>
      <c r="Q964" s="8"/>
    </row>
    <row r="965" ht="12.75">
      <c r="E965" s="8"/>
      <c r="F965" s="8"/>
      <c r="G965" s="8"/>
      <c r="H965" s="48"/>
      <c r="I965" s="49"/>
      <c r="M965" s="45"/>
      <c r="N965" s="45"/>
      <c r="O965" s="45"/>
      <c r="P965" s="8"/>
      <c r="Q965" s="8"/>
    </row>
    <row r="966" ht="12.75">
      <c r="E966" s="8"/>
      <c r="F966" s="8"/>
      <c r="G966" s="8"/>
      <c r="H966" s="48"/>
      <c r="I966" s="49"/>
      <c r="M966" s="45"/>
      <c r="N966" s="45"/>
      <c r="O966" s="45"/>
      <c r="P966" s="8"/>
      <c r="Q966" s="8"/>
    </row>
    <row r="967" ht="12.75">
      <c r="E967" s="8"/>
      <c r="F967" s="8"/>
      <c r="G967" s="8"/>
      <c r="H967" s="48"/>
      <c r="I967" s="49"/>
      <c r="M967" s="45"/>
      <c r="N967" s="45"/>
      <c r="O967" s="45"/>
      <c r="P967" s="8"/>
      <c r="Q967" s="8"/>
    </row>
    <row r="968" ht="12.75">
      <c r="E968" s="8"/>
      <c r="F968" s="8"/>
      <c r="G968" s="8"/>
      <c r="H968" s="48"/>
      <c r="I968" s="49"/>
      <c r="M968" s="45"/>
      <c r="N968" s="45"/>
      <c r="O968" s="45"/>
      <c r="P968" s="8"/>
      <c r="Q968" s="8"/>
    </row>
    <row r="969" ht="12.75">
      <c r="E969" s="8"/>
      <c r="F969" s="8"/>
      <c r="G969" s="8"/>
      <c r="H969" s="48"/>
      <c r="I969" s="49"/>
      <c r="M969" s="45"/>
      <c r="N969" s="45"/>
      <c r="O969" s="45"/>
      <c r="P969" s="8"/>
      <c r="Q969" s="8"/>
    </row>
    <row r="970" ht="12.75">
      <c r="E970" s="8"/>
      <c r="F970" s="8"/>
      <c r="G970" s="8"/>
      <c r="H970" s="48"/>
      <c r="I970" s="49"/>
      <c r="M970" s="45"/>
      <c r="N970" s="45"/>
      <c r="O970" s="45"/>
      <c r="P970" s="8"/>
      <c r="Q970" s="8"/>
    </row>
    <row r="971" ht="12.75">
      <c r="E971" s="8"/>
      <c r="F971" s="8"/>
      <c r="G971" s="8"/>
      <c r="H971" s="48"/>
      <c r="I971" s="49"/>
      <c r="M971" s="45"/>
      <c r="N971" s="45"/>
      <c r="O971" s="45"/>
      <c r="P971" s="8"/>
      <c r="Q971" s="8"/>
    </row>
    <row r="972" ht="12.75">
      <c r="E972" s="8"/>
      <c r="F972" s="8"/>
      <c r="G972" s="8"/>
      <c r="H972" s="48"/>
      <c r="I972" s="49"/>
      <c r="M972" s="45"/>
      <c r="N972" s="45"/>
      <c r="O972" s="45"/>
      <c r="P972" s="8"/>
      <c r="Q972" s="8"/>
    </row>
    <row r="973" ht="12.75">
      <c r="E973" s="8"/>
      <c r="F973" s="8"/>
      <c r="G973" s="8"/>
      <c r="H973" s="48"/>
      <c r="I973" s="49"/>
      <c r="M973" s="45"/>
      <c r="N973" s="45"/>
      <c r="O973" s="45"/>
      <c r="P973" s="8"/>
      <c r="Q973" s="8"/>
    </row>
    <row r="974" ht="12.75">
      <c r="E974" s="8"/>
      <c r="F974" s="8"/>
      <c r="G974" s="8"/>
      <c r="H974" s="48"/>
      <c r="I974" s="49"/>
      <c r="M974" s="45"/>
      <c r="N974" s="45"/>
      <c r="O974" s="45"/>
      <c r="P974" s="8"/>
      <c r="Q974" s="8"/>
    </row>
    <row r="975" ht="12.75">
      <c r="E975" s="8"/>
      <c r="F975" s="8"/>
      <c r="G975" s="8"/>
      <c r="H975" s="48"/>
      <c r="I975" s="49"/>
      <c r="M975" s="45"/>
      <c r="N975" s="45"/>
      <c r="O975" s="45"/>
      <c r="P975" s="8"/>
      <c r="Q975" s="8"/>
    </row>
    <row r="976" ht="12.75">
      <c r="E976" s="8"/>
      <c r="F976" s="8"/>
      <c r="G976" s="8"/>
      <c r="H976" s="48"/>
      <c r="I976" s="49"/>
      <c r="M976" s="45"/>
      <c r="N976" s="45"/>
      <c r="O976" s="45"/>
      <c r="P976" s="8"/>
      <c r="Q976" s="8"/>
    </row>
    <row r="977" ht="12.75">
      <c r="E977" s="8"/>
      <c r="F977" s="8"/>
      <c r="G977" s="8"/>
      <c r="H977" s="48"/>
      <c r="I977" s="49"/>
      <c r="M977" s="45"/>
      <c r="N977" s="45"/>
      <c r="O977" s="45"/>
      <c r="P977" s="8"/>
      <c r="Q977" s="8"/>
    </row>
    <row r="978" ht="12.75">
      <c r="E978" s="8"/>
      <c r="F978" s="8"/>
      <c r="G978" s="8"/>
      <c r="H978" s="48"/>
      <c r="I978" s="49"/>
      <c r="M978" s="45"/>
      <c r="N978" s="45"/>
      <c r="O978" s="45"/>
      <c r="P978" s="8"/>
      <c r="Q978" s="8"/>
    </row>
    <row r="979" ht="12.75">
      <c r="E979" s="8"/>
      <c r="F979" s="8"/>
      <c r="G979" s="8"/>
      <c r="H979" s="48"/>
      <c r="I979" s="49"/>
      <c r="M979" s="45"/>
      <c r="N979" s="45"/>
      <c r="O979" s="45"/>
      <c r="P979" s="8"/>
      <c r="Q979" s="8"/>
    </row>
    <row r="980" ht="12.75">
      <c r="E980" s="8"/>
      <c r="F980" s="8"/>
      <c r="G980" s="8"/>
      <c r="H980" s="48"/>
      <c r="I980" s="49"/>
      <c r="M980" s="45"/>
      <c r="N980" s="45"/>
      <c r="O980" s="45"/>
      <c r="P980" s="8"/>
      <c r="Q980" s="8"/>
    </row>
    <row r="981" ht="12.75">
      <c r="E981" s="8"/>
      <c r="F981" s="8"/>
      <c r="G981" s="8"/>
      <c r="H981" s="48"/>
      <c r="I981" s="49"/>
      <c r="M981" s="45"/>
      <c r="N981" s="45"/>
      <c r="O981" s="45"/>
      <c r="P981" s="8"/>
      <c r="Q981" s="8"/>
    </row>
    <row r="982" ht="12.75">
      <c r="E982" s="8"/>
      <c r="F982" s="8"/>
      <c r="G982" s="8"/>
      <c r="H982" s="48"/>
      <c r="I982" s="49"/>
      <c r="M982" s="45"/>
      <c r="N982" s="45"/>
      <c r="O982" s="45"/>
      <c r="P982" s="8"/>
      <c r="Q982" s="8"/>
    </row>
    <row r="983" ht="12.75">
      <c r="E983" s="8"/>
      <c r="F983" s="8"/>
      <c r="G983" s="8"/>
      <c r="H983" s="48"/>
      <c r="I983" s="49"/>
      <c r="M983" s="45"/>
      <c r="N983" s="45"/>
      <c r="O983" s="45"/>
      <c r="P983" s="8"/>
      <c r="Q983" s="8"/>
    </row>
    <row r="984" ht="12.75">
      <c r="E984" s="8"/>
      <c r="F984" s="8"/>
      <c r="G984" s="8"/>
      <c r="H984" s="48"/>
      <c r="I984" s="49"/>
      <c r="M984" s="45"/>
      <c r="N984" s="45"/>
      <c r="O984" s="45"/>
      <c r="P984" s="8"/>
      <c r="Q984" s="8"/>
    </row>
    <row r="985" ht="12.75">
      <c r="E985" s="8"/>
      <c r="F985" s="8"/>
      <c r="G985" s="8"/>
      <c r="H985" s="48"/>
      <c r="I985" s="49"/>
      <c r="M985" s="45"/>
      <c r="N985" s="45"/>
      <c r="O985" s="45"/>
      <c r="P985" s="8"/>
      <c r="Q985" s="8"/>
    </row>
    <row r="986" ht="12.75">
      <c r="E986" s="8"/>
      <c r="F986" s="8"/>
      <c r="G986" s="8"/>
      <c r="H986" s="48"/>
      <c r="I986" s="49"/>
      <c r="M986" s="45"/>
      <c r="N986" s="45"/>
      <c r="O986" s="45"/>
      <c r="P986" s="8"/>
      <c r="Q986" s="8"/>
    </row>
    <row r="987" ht="12.75">
      <c r="E987" s="8"/>
      <c r="F987" s="8"/>
      <c r="G987" s="8"/>
      <c r="H987" s="48"/>
      <c r="I987" s="49"/>
      <c r="M987" s="45"/>
      <c r="N987" s="45"/>
      <c r="O987" s="45"/>
      <c r="P987" s="8"/>
      <c r="Q987" s="8"/>
    </row>
    <row r="988" ht="12.75">
      <c r="E988" s="8"/>
      <c r="F988" s="8"/>
      <c r="G988" s="8"/>
      <c r="H988" s="48"/>
      <c r="I988" s="49"/>
      <c r="M988" s="45"/>
      <c r="N988" s="45"/>
      <c r="O988" s="45"/>
      <c r="P988" s="8"/>
      <c r="Q988" s="8"/>
    </row>
    <row r="989" ht="12.75">
      <c r="E989" s="8"/>
      <c r="F989" s="8"/>
      <c r="G989" s="8"/>
      <c r="H989" s="48"/>
      <c r="I989" s="49"/>
      <c r="M989" s="45"/>
      <c r="N989" s="45"/>
      <c r="O989" s="45"/>
      <c r="P989" s="8"/>
      <c r="Q989" s="8"/>
    </row>
    <row r="990" ht="12.75">
      <c r="E990" s="8"/>
      <c r="F990" s="8"/>
      <c r="G990" s="8"/>
      <c r="H990" s="48"/>
      <c r="I990" s="49"/>
      <c r="M990" s="45"/>
      <c r="N990" s="45"/>
      <c r="O990" s="45"/>
      <c r="P990" s="8"/>
      <c r="Q990" s="8"/>
    </row>
    <row r="991" ht="12.75">
      <c r="E991" s="8"/>
      <c r="F991" s="8"/>
      <c r="G991" s="8"/>
      <c r="H991" s="48"/>
      <c r="I991" s="49"/>
      <c r="M991" s="45"/>
      <c r="N991" s="45"/>
      <c r="O991" s="45"/>
      <c r="P991" s="8"/>
      <c r="Q991" s="8"/>
    </row>
    <row r="992" ht="12.75">
      <c r="E992" s="8"/>
      <c r="F992" s="8"/>
      <c r="G992" s="8"/>
      <c r="H992" s="48"/>
      <c r="I992" s="49"/>
      <c r="M992" s="45"/>
      <c r="N992" s="45"/>
      <c r="O992" s="45"/>
      <c r="P992" s="8"/>
      <c r="Q992" s="8"/>
    </row>
    <row r="993" ht="12.75">
      <c r="E993" s="8"/>
      <c r="F993" s="8"/>
      <c r="G993" s="8"/>
      <c r="H993" s="48"/>
      <c r="I993" s="49"/>
      <c r="M993" s="45"/>
      <c r="N993" s="45"/>
      <c r="O993" s="45"/>
      <c r="P993" s="8"/>
      <c r="Q993" s="8"/>
    </row>
    <row r="994" ht="12.75">
      <c r="E994" s="8"/>
      <c r="F994" s="8"/>
      <c r="G994" s="8"/>
      <c r="H994" s="48"/>
      <c r="I994" s="49"/>
      <c r="M994" s="45"/>
      <c r="N994" s="45"/>
      <c r="O994" s="45"/>
      <c r="P994" s="8"/>
      <c r="Q994" s="8"/>
    </row>
    <row r="995" ht="12.75">
      <c r="E995" s="8"/>
      <c r="F995" s="8"/>
      <c r="G995" s="8"/>
      <c r="H995" s="48"/>
      <c r="I995" s="49"/>
      <c r="M995" s="45"/>
      <c r="N995" s="45"/>
      <c r="O995" s="45"/>
      <c r="P995" s="8"/>
      <c r="Q995" s="8"/>
    </row>
    <row r="996" ht="12.75">
      <c r="E996" s="8"/>
      <c r="F996" s="8"/>
      <c r="G996" s="8"/>
      <c r="H996" s="48"/>
      <c r="I996" s="49"/>
      <c r="M996" s="45"/>
      <c r="N996" s="45"/>
      <c r="O996" s="45"/>
      <c r="P996" s="8"/>
      <c r="Q996" s="8"/>
    </row>
    <row r="997" ht="12.75">
      <c r="E997" s="8"/>
      <c r="F997" s="8"/>
      <c r="G997" s="8"/>
      <c r="H997" s="48"/>
      <c r="I997" s="49"/>
      <c r="M997" s="45"/>
      <c r="N997" s="45"/>
      <c r="O997" s="45"/>
      <c r="P997" s="8"/>
      <c r="Q997" s="8"/>
    </row>
    <row r="998" ht="12.75">
      <c r="E998" s="8"/>
      <c r="F998" s="8"/>
      <c r="G998" s="8"/>
      <c r="H998" s="48"/>
      <c r="I998" s="49"/>
      <c r="M998" s="45"/>
      <c r="N998" s="45"/>
      <c r="O998" s="45"/>
      <c r="P998" s="8"/>
      <c r="Q998" s="8"/>
    </row>
    <row r="999" ht="12.75">
      <c r="E999" s="8"/>
      <c r="F999" s="8"/>
      <c r="G999" s="8"/>
      <c r="H999" s="48"/>
      <c r="I999" s="49"/>
      <c r="M999" s="45"/>
      <c r="N999" s="45"/>
      <c r="O999" s="45"/>
      <c r="P999" s="8"/>
      <c r="Q999" s="8"/>
    </row>
    <row r="1000" ht="12.75">
      <c r="E1000" s="8"/>
      <c r="F1000" s="8"/>
      <c r="G1000" s="8"/>
      <c r="H1000" s="48"/>
      <c r="I1000" s="49"/>
      <c r="M1000" s="45"/>
      <c r="N1000" s="45"/>
      <c r="O1000" s="45"/>
      <c r="P1000" s="8"/>
      <c r="Q1000" s="8"/>
    </row>
    <row r="1001" ht="12.75">
      <c r="E1001" s="8"/>
      <c r="F1001" s="8"/>
      <c r="G1001" s="8"/>
      <c r="H1001" s="48"/>
      <c r="I1001" s="49"/>
      <c r="M1001" s="45"/>
      <c r="N1001" s="45"/>
      <c r="O1001" s="45"/>
      <c r="P1001" s="8"/>
      <c r="Q1001" s="8"/>
    </row>
    <row r="1002" ht="12.75">
      <c r="E1002" s="8"/>
      <c r="F1002" s="8"/>
      <c r="G1002" s="8"/>
      <c r="H1002" s="48"/>
      <c r="I1002" s="49"/>
      <c r="M1002" s="45"/>
      <c r="N1002" s="45"/>
      <c r="O1002" s="45"/>
      <c r="P1002" s="8"/>
      <c r="Q1002" s="8"/>
    </row>
    <row r="1003" ht="12.75">
      <c r="E1003" s="8"/>
      <c r="F1003" s="8"/>
      <c r="G1003" s="8"/>
      <c r="H1003" s="48"/>
      <c r="I1003" s="49"/>
      <c r="M1003" s="45"/>
      <c r="N1003" s="45"/>
      <c r="O1003" s="45"/>
      <c r="P1003" s="8"/>
      <c r="Q1003" s="8"/>
    </row>
    <row r="1004" ht="12.75">
      <c r="E1004" s="8"/>
      <c r="F1004" s="8"/>
      <c r="G1004" s="8"/>
      <c r="H1004" s="48"/>
      <c r="I1004" s="49"/>
      <c r="M1004" s="45"/>
      <c r="N1004" s="45"/>
      <c r="O1004" s="45"/>
      <c r="P1004" s="8"/>
      <c r="Q1004" s="8"/>
    </row>
    <row r="1005" ht="12.75">
      <c r="E1005" s="8"/>
      <c r="F1005" s="8"/>
      <c r="G1005" s="8"/>
      <c r="H1005" s="48"/>
      <c r="I1005" s="49"/>
      <c r="M1005" s="45"/>
      <c r="N1005" s="45"/>
      <c r="O1005" s="45"/>
      <c r="P1005" s="8"/>
      <c r="Q1005" s="8"/>
    </row>
    <row r="1006" ht="12.75">
      <c r="E1006" s="8"/>
      <c r="F1006" s="8"/>
      <c r="G1006" s="8"/>
      <c r="H1006" s="48"/>
      <c r="I1006" s="49"/>
      <c r="M1006" s="45"/>
      <c r="N1006" s="45"/>
      <c r="O1006" s="45"/>
      <c r="P1006" s="8"/>
      <c r="Q1006" s="8"/>
    </row>
    <row r="1007" ht="12.75">
      <c r="E1007" s="8"/>
      <c r="F1007" s="8"/>
      <c r="G1007" s="8"/>
      <c r="H1007" s="48"/>
      <c r="I1007" s="49"/>
      <c r="M1007" s="45"/>
      <c r="N1007" s="45"/>
      <c r="O1007" s="45"/>
      <c r="P1007" s="8"/>
      <c r="Q1007" s="8"/>
    </row>
    <row r="1008" ht="12.75">
      <c r="E1008" s="8"/>
      <c r="F1008" s="8"/>
      <c r="G1008" s="8"/>
      <c r="H1008" s="48"/>
      <c r="I1008" s="49"/>
      <c r="M1008" s="45"/>
      <c r="N1008" s="45"/>
      <c r="O1008" s="45"/>
      <c r="P1008" s="8"/>
      <c r="Q1008" s="8"/>
    </row>
    <row r="1009" ht="12.75">
      <c r="E1009" s="8"/>
      <c r="F1009" s="8"/>
      <c r="G1009" s="8"/>
      <c r="H1009" s="48"/>
      <c r="I1009" s="49"/>
      <c r="M1009" s="45"/>
      <c r="N1009" s="45"/>
      <c r="O1009" s="45"/>
      <c r="P1009" s="8"/>
      <c r="Q1009" s="8"/>
    </row>
    <row r="1010" ht="12.75">
      <c r="E1010" s="8"/>
      <c r="F1010" s="8"/>
      <c r="G1010" s="8"/>
      <c r="H1010" s="48"/>
      <c r="I1010" s="49"/>
      <c r="M1010" s="45"/>
      <c r="N1010" s="45"/>
      <c r="O1010" s="45"/>
      <c r="P1010" s="8"/>
      <c r="Q1010" s="8"/>
    </row>
    <row r="1011" ht="12.75">
      <c r="E1011" s="8"/>
      <c r="F1011" s="8"/>
      <c r="G1011" s="8"/>
      <c r="H1011" s="48"/>
      <c r="I1011" s="49"/>
      <c r="M1011" s="45"/>
      <c r="N1011" s="45"/>
      <c r="O1011" s="45"/>
      <c r="P1011" s="8"/>
      <c r="Q1011" s="8"/>
    </row>
    <row r="1012" ht="12.75">
      <c r="E1012" s="8"/>
      <c r="F1012" s="8"/>
      <c r="G1012" s="8"/>
      <c r="H1012" s="48"/>
      <c r="I1012" s="49"/>
      <c r="M1012" s="45"/>
      <c r="N1012" s="45"/>
      <c r="O1012" s="45"/>
      <c r="P1012" s="8"/>
      <c r="Q1012" s="8"/>
    </row>
    <row r="1013" ht="12.75">
      <c r="E1013" s="8"/>
      <c r="F1013" s="8"/>
      <c r="G1013" s="8"/>
      <c r="H1013" s="48"/>
      <c r="I1013" s="49"/>
      <c r="M1013" s="45"/>
      <c r="N1013" s="45"/>
      <c r="O1013" s="45"/>
      <c r="P1013" s="8"/>
      <c r="Q1013" s="8"/>
    </row>
    <row r="1014" ht="12.75">
      <c r="E1014" s="8"/>
      <c r="F1014" s="8"/>
      <c r="G1014" s="8"/>
      <c r="H1014" s="48"/>
      <c r="I1014" s="49"/>
      <c r="M1014" s="45"/>
      <c r="N1014" s="45"/>
      <c r="O1014" s="45"/>
      <c r="P1014" s="8"/>
      <c r="Q1014" s="8"/>
    </row>
    <row r="1015" ht="12.75">
      <c r="E1015" s="8"/>
      <c r="F1015" s="8"/>
      <c r="G1015" s="8"/>
      <c r="H1015" s="48"/>
      <c r="I1015" s="49"/>
      <c r="M1015" s="45"/>
      <c r="N1015" s="45"/>
      <c r="O1015" s="45"/>
      <c r="P1015" s="8"/>
      <c r="Q1015" s="8"/>
    </row>
    <row r="1016" ht="12.75">
      <c r="E1016" s="8"/>
      <c r="F1016" s="8"/>
      <c r="G1016" s="8"/>
      <c r="H1016" s="48"/>
      <c r="I1016" s="49"/>
      <c r="M1016" s="45"/>
      <c r="N1016" s="45"/>
      <c r="O1016" s="45"/>
      <c r="P1016" s="8"/>
      <c r="Q1016" s="8"/>
    </row>
    <row r="1017" ht="12.75">
      <c r="E1017" s="8"/>
      <c r="F1017" s="8"/>
      <c r="G1017" s="8"/>
      <c r="H1017" s="48"/>
      <c r="I1017" s="49"/>
      <c r="M1017" s="45"/>
      <c r="N1017" s="45"/>
      <c r="O1017" s="45"/>
      <c r="P1017" s="8"/>
      <c r="Q1017" s="8"/>
    </row>
    <row r="1018" ht="12.75">
      <c r="E1018" s="8"/>
      <c r="F1018" s="8"/>
      <c r="G1018" s="8"/>
      <c r="H1018" s="48"/>
      <c r="I1018" s="49"/>
      <c r="M1018" s="45"/>
      <c r="N1018" s="45"/>
      <c r="O1018" s="45"/>
      <c r="P1018" s="8"/>
      <c r="Q1018" s="8"/>
    </row>
    <row r="1019" ht="12.75">
      <c r="E1019" s="8"/>
      <c r="F1019" s="8"/>
      <c r="G1019" s="8"/>
      <c r="H1019" s="48"/>
      <c r="I1019" s="49"/>
      <c r="M1019" s="45"/>
      <c r="N1019" s="45"/>
      <c r="O1019" s="45"/>
      <c r="P1019" s="8"/>
      <c r="Q1019" s="8"/>
    </row>
    <row r="1020" ht="12.75">
      <c r="E1020" s="8"/>
      <c r="F1020" s="8"/>
      <c r="G1020" s="8"/>
      <c r="H1020" s="48"/>
      <c r="I1020" s="49"/>
      <c r="M1020" s="45"/>
      <c r="N1020" s="45"/>
      <c r="O1020" s="45"/>
      <c r="P1020" s="8"/>
      <c r="Q1020" s="8"/>
    </row>
    <row r="1021" ht="12.75">
      <c r="E1021" s="8"/>
      <c r="F1021" s="8"/>
      <c r="G1021" s="8"/>
      <c r="H1021" s="48"/>
      <c r="I1021" s="49"/>
      <c r="M1021" s="45"/>
      <c r="N1021" s="45"/>
      <c r="O1021" s="45"/>
      <c r="P1021" s="8"/>
      <c r="Q1021" s="8"/>
    </row>
    <row r="1022" ht="12.75">
      <c r="E1022" s="8"/>
      <c r="F1022" s="8"/>
      <c r="G1022" s="8"/>
      <c r="H1022" s="48"/>
      <c r="I1022" s="49"/>
      <c r="M1022" s="45"/>
      <c r="N1022" s="45"/>
      <c r="O1022" s="45"/>
      <c r="P1022" s="8"/>
      <c r="Q1022" s="8"/>
    </row>
    <row r="1023" ht="12.75">
      <c r="E1023" s="8"/>
      <c r="F1023" s="8"/>
      <c r="G1023" s="8"/>
      <c r="H1023" s="48"/>
      <c r="I1023" s="49"/>
      <c r="M1023" s="45"/>
      <c r="N1023" s="45"/>
      <c r="O1023" s="45"/>
      <c r="P1023" s="8"/>
      <c r="Q1023" s="8"/>
    </row>
    <row r="1024" ht="12.75">
      <c r="E1024" s="8"/>
      <c r="F1024" s="8"/>
      <c r="G1024" s="8"/>
      <c r="H1024" s="48"/>
      <c r="I1024" s="49"/>
      <c r="M1024" s="45"/>
      <c r="N1024" s="45"/>
      <c r="O1024" s="45"/>
      <c r="P1024" s="8"/>
      <c r="Q1024" s="8"/>
    </row>
    <row r="1025" ht="12.75">
      <c r="E1025" s="8"/>
      <c r="F1025" s="8"/>
      <c r="G1025" s="8"/>
      <c r="H1025" s="48"/>
      <c r="I1025" s="49"/>
      <c r="M1025" s="45"/>
      <c r="N1025" s="45"/>
      <c r="O1025" s="45"/>
      <c r="P1025" s="8"/>
      <c r="Q1025" s="8"/>
    </row>
    <row r="1026" ht="12.75">
      <c r="E1026" s="8"/>
      <c r="F1026" s="8"/>
      <c r="G1026" s="8"/>
      <c r="H1026" s="48"/>
      <c r="I1026" s="49"/>
      <c r="M1026" s="45"/>
      <c r="N1026" s="45"/>
      <c r="O1026" s="45"/>
      <c r="P1026" s="8"/>
      <c r="Q1026" s="8"/>
    </row>
    <row r="1027" ht="12.75">
      <c r="E1027" s="8"/>
      <c r="F1027" s="8"/>
      <c r="G1027" s="8"/>
      <c r="H1027" s="48"/>
      <c r="I1027" s="49"/>
      <c r="M1027" s="45"/>
      <c r="N1027" s="45"/>
      <c r="O1027" s="45"/>
      <c r="P1027" s="8"/>
      <c r="Q1027" s="8"/>
    </row>
    <row r="1028" ht="12.75">
      <c r="E1028" s="8"/>
      <c r="F1028" s="8"/>
      <c r="G1028" s="8"/>
      <c r="H1028" s="48"/>
      <c r="I1028" s="49"/>
      <c r="M1028" s="45"/>
      <c r="N1028" s="45"/>
      <c r="O1028" s="45"/>
      <c r="P1028" s="8"/>
      <c r="Q1028" s="8"/>
    </row>
    <row r="1029" ht="12.75">
      <c r="E1029" s="8"/>
      <c r="F1029" s="8"/>
      <c r="G1029" s="8"/>
      <c r="H1029" s="48"/>
      <c r="I1029" s="49"/>
      <c r="M1029" s="45"/>
      <c r="N1029" s="45"/>
      <c r="O1029" s="45"/>
      <c r="P1029" s="8"/>
      <c r="Q1029" s="8"/>
    </row>
    <row r="1030" ht="12.75">
      <c r="E1030" s="8"/>
      <c r="F1030" s="8"/>
      <c r="G1030" s="8"/>
      <c r="H1030" s="48"/>
      <c r="I1030" s="49"/>
      <c r="M1030" s="45"/>
      <c r="N1030" s="45"/>
      <c r="O1030" s="45"/>
      <c r="P1030" s="8"/>
      <c r="Q1030" s="8"/>
    </row>
    <row r="1031" ht="12.75">
      <c r="E1031" s="8"/>
      <c r="F1031" s="8"/>
      <c r="G1031" s="8"/>
      <c r="H1031" s="48"/>
      <c r="I1031" s="49"/>
      <c r="M1031" s="45"/>
      <c r="N1031" s="45"/>
      <c r="O1031" s="45"/>
      <c r="P1031" s="8"/>
      <c r="Q1031" s="8"/>
    </row>
    <row r="1032" ht="12.75">
      <c r="E1032" s="8"/>
      <c r="F1032" s="8"/>
      <c r="G1032" s="8"/>
      <c r="H1032" s="48"/>
      <c r="I1032" s="49"/>
      <c r="M1032" s="45"/>
      <c r="N1032" s="45"/>
      <c r="O1032" s="45"/>
      <c r="P1032" s="8"/>
      <c r="Q1032" s="8"/>
    </row>
    <row r="1033" ht="12.75">
      <c r="E1033" s="8"/>
      <c r="F1033" s="8"/>
      <c r="G1033" s="8"/>
      <c r="H1033" s="48"/>
      <c r="I1033" s="49"/>
      <c r="M1033" s="45"/>
      <c r="N1033" s="45"/>
      <c r="O1033" s="45"/>
      <c r="P1033" s="8"/>
      <c r="Q1033" s="8"/>
    </row>
    <row r="1034" ht="12.75">
      <c r="E1034" s="8"/>
      <c r="F1034" s="8"/>
      <c r="G1034" s="8"/>
      <c r="H1034" s="48"/>
      <c r="I1034" s="49"/>
      <c r="M1034" s="45"/>
      <c r="N1034" s="45"/>
      <c r="O1034" s="45"/>
      <c r="P1034" s="8"/>
      <c r="Q1034" s="8"/>
    </row>
    <row r="1035" ht="12.75">
      <c r="E1035" s="8"/>
      <c r="F1035" s="8"/>
      <c r="G1035" s="8"/>
      <c r="H1035" s="48"/>
      <c r="I1035" s="49"/>
      <c r="M1035" s="45"/>
      <c r="N1035" s="45"/>
      <c r="O1035" s="45"/>
      <c r="P1035" s="8"/>
      <c r="Q1035" s="8"/>
    </row>
    <row r="1036" ht="12.75">
      <c r="E1036" s="8"/>
      <c r="F1036" s="8"/>
      <c r="G1036" s="8"/>
      <c r="H1036" s="48"/>
      <c r="I1036" s="49"/>
      <c r="M1036" s="45"/>
      <c r="N1036" s="45"/>
      <c r="O1036" s="45"/>
      <c r="P1036" s="8"/>
      <c r="Q1036" s="8"/>
    </row>
    <row r="1037" ht="12.75">
      <c r="E1037" s="8"/>
      <c r="F1037" s="8"/>
      <c r="G1037" s="8"/>
      <c r="H1037" s="48"/>
      <c r="I1037" s="49"/>
      <c r="M1037" s="45"/>
      <c r="N1037" s="45"/>
      <c r="O1037" s="45"/>
      <c r="P1037" s="8"/>
      <c r="Q1037" s="8"/>
    </row>
    <row r="1038" ht="12.75">
      <c r="E1038" s="8"/>
      <c r="F1038" s="8"/>
      <c r="G1038" s="8"/>
      <c r="H1038" s="48"/>
      <c r="I1038" s="49"/>
      <c r="M1038" s="45"/>
      <c r="N1038" s="45"/>
      <c r="O1038" s="45"/>
      <c r="P1038" s="8"/>
      <c r="Q1038" s="8"/>
    </row>
    <row r="1039" ht="12.75">
      <c r="E1039" s="8"/>
      <c r="F1039" s="8"/>
      <c r="G1039" s="8"/>
      <c r="H1039" s="48"/>
      <c r="I1039" s="49"/>
      <c r="M1039" s="45"/>
      <c r="N1039" s="45"/>
      <c r="O1039" s="45"/>
      <c r="P1039" s="8"/>
      <c r="Q1039" s="8"/>
    </row>
    <row r="1040" ht="12.75">
      <c r="E1040" s="8"/>
      <c r="F1040" s="8"/>
      <c r="G1040" s="8"/>
      <c r="H1040" s="48"/>
      <c r="I1040" s="49"/>
      <c r="M1040" s="45"/>
      <c r="N1040" s="45"/>
      <c r="O1040" s="45"/>
      <c r="P1040" s="8"/>
      <c r="Q1040" s="8"/>
    </row>
    <row r="1041" ht="12.75">
      <c r="E1041" s="8"/>
      <c r="F1041" s="8"/>
      <c r="G1041" s="8"/>
      <c r="H1041" s="48"/>
      <c r="I1041" s="49"/>
      <c r="M1041" s="45"/>
      <c r="N1041" s="45"/>
      <c r="O1041" s="45"/>
      <c r="P1041" s="8"/>
      <c r="Q1041" s="8"/>
    </row>
    <row r="1042" ht="12.75">
      <c r="E1042" s="8"/>
      <c r="F1042" s="8"/>
      <c r="G1042" s="8"/>
      <c r="H1042" s="48"/>
      <c r="I1042" s="49"/>
      <c r="M1042" s="45"/>
      <c r="N1042" s="45"/>
      <c r="O1042" s="45"/>
      <c r="P1042" s="8"/>
      <c r="Q1042" s="8"/>
    </row>
    <row r="1043" ht="12.75">
      <c r="E1043" s="8"/>
      <c r="F1043" s="8"/>
      <c r="G1043" s="8"/>
      <c r="H1043" s="48"/>
      <c r="I1043" s="49"/>
      <c r="M1043" s="45"/>
      <c r="N1043" s="45"/>
      <c r="O1043" s="45"/>
      <c r="P1043" s="8"/>
      <c r="Q1043" s="8"/>
    </row>
    <row r="1044" ht="12.75">
      <c r="E1044" s="8"/>
      <c r="F1044" s="8"/>
      <c r="G1044" s="8"/>
      <c r="H1044" s="48"/>
      <c r="I1044" s="49"/>
      <c r="M1044" s="45"/>
      <c r="N1044" s="45"/>
      <c r="O1044" s="45"/>
      <c r="P1044" s="8"/>
      <c r="Q1044" s="8"/>
    </row>
    <row r="1045" ht="12.75">
      <c r="E1045" s="8"/>
      <c r="F1045" s="8"/>
      <c r="G1045" s="8"/>
      <c r="H1045" s="48"/>
      <c r="I1045" s="49"/>
      <c r="M1045" s="45"/>
      <c r="N1045" s="45"/>
      <c r="O1045" s="45"/>
      <c r="P1045" s="8"/>
      <c r="Q1045" s="8"/>
    </row>
    <row r="1046" ht="12.75">
      <c r="E1046" s="8"/>
      <c r="F1046" s="8"/>
      <c r="G1046" s="8"/>
      <c r="H1046" s="48"/>
      <c r="I1046" s="49"/>
      <c r="M1046" s="45"/>
      <c r="N1046" s="45"/>
      <c r="O1046" s="45"/>
      <c r="P1046" s="8"/>
      <c r="Q1046" s="8"/>
    </row>
    <row r="1047" ht="12.75">
      <c r="E1047" s="8"/>
      <c r="F1047" s="8"/>
      <c r="G1047" s="8"/>
      <c r="H1047" s="48"/>
      <c r="I1047" s="49"/>
      <c r="M1047" s="45"/>
      <c r="N1047" s="45"/>
      <c r="O1047" s="45"/>
      <c r="P1047" s="8"/>
      <c r="Q1047" s="8"/>
    </row>
    <row r="1048" ht="12.75">
      <c r="E1048" s="8"/>
      <c r="F1048" s="8"/>
      <c r="G1048" s="8"/>
      <c r="H1048" s="48"/>
      <c r="I1048" s="49"/>
      <c r="M1048" s="45"/>
      <c r="N1048" s="45"/>
      <c r="O1048" s="45"/>
      <c r="P1048" s="8"/>
      <c r="Q1048" s="8"/>
    </row>
    <row r="1049" ht="12.75">
      <c r="E1049" s="8"/>
      <c r="F1049" s="8"/>
      <c r="G1049" s="8"/>
      <c r="H1049" s="48"/>
      <c r="I1049" s="49"/>
      <c r="M1049" s="45"/>
      <c r="N1049" s="45"/>
      <c r="O1049" s="45"/>
      <c r="P1049" s="8"/>
      <c r="Q1049" s="8"/>
    </row>
    <row r="1050" ht="12.75">
      <c r="E1050" s="8"/>
      <c r="F1050" s="8"/>
      <c r="G1050" s="8"/>
      <c r="H1050" s="48"/>
      <c r="I1050" s="49"/>
      <c r="M1050" s="45"/>
      <c r="N1050" s="45"/>
      <c r="O1050" s="45"/>
      <c r="P1050" s="8"/>
      <c r="Q1050" s="8"/>
    </row>
    <row r="1051" ht="12.75">
      <c r="E1051" s="8"/>
      <c r="F1051" s="8"/>
      <c r="G1051" s="8"/>
      <c r="H1051" s="48"/>
      <c r="I1051" s="49"/>
      <c r="M1051" s="45"/>
      <c r="N1051" s="45"/>
      <c r="O1051" s="45"/>
      <c r="P1051" s="8"/>
      <c r="Q1051" s="8"/>
    </row>
    <row r="1052" ht="12.75">
      <c r="E1052" s="8"/>
      <c r="F1052" s="8"/>
      <c r="G1052" s="8"/>
      <c r="H1052" s="48"/>
      <c r="I1052" s="49"/>
      <c r="M1052" s="45"/>
      <c r="N1052" s="45"/>
      <c r="O1052" s="45"/>
      <c r="P1052" s="8"/>
      <c r="Q1052" s="8"/>
    </row>
    <row r="1053" ht="12.75">
      <c r="E1053" s="8"/>
      <c r="F1053" s="8"/>
      <c r="G1053" s="8"/>
      <c r="H1053" s="48"/>
      <c r="I1053" s="49"/>
      <c r="M1053" s="45"/>
      <c r="N1053" s="45"/>
      <c r="O1053" s="45"/>
      <c r="P1053" s="8"/>
      <c r="Q1053" s="8"/>
    </row>
    <row r="1054" ht="12.75">
      <c r="E1054" s="8"/>
      <c r="F1054" s="8"/>
      <c r="G1054" s="8"/>
      <c r="H1054" s="48"/>
      <c r="I1054" s="49"/>
      <c r="M1054" s="45"/>
      <c r="N1054" s="45"/>
      <c r="O1054" s="45"/>
      <c r="P1054" s="8"/>
      <c r="Q1054" s="8"/>
    </row>
    <row r="1055" ht="12.75">
      <c r="E1055" s="8"/>
      <c r="F1055" s="8"/>
      <c r="G1055" s="8"/>
      <c r="H1055" s="48"/>
      <c r="I1055" s="49"/>
      <c r="M1055" s="45"/>
      <c r="N1055" s="45"/>
      <c r="O1055" s="45"/>
      <c r="P1055" s="8"/>
      <c r="Q1055" s="8"/>
    </row>
    <row r="1056" ht="12.75">
      <c r="E1056" s="8"/>
      <c r="F1056" s="8"/>
      <c r="G1056" s="8"/>
      <c r="H1056" s="48"/>
      <c r="I1056" s="49"/>
      <c r="M1056" s="45"/>
      <c r="N1056" s="45"/>
      <c r="O1056" s="45"/>
      <c r="P1056" s="8"/>
      <c r="Q1056" s="8"/>
    </row>
    <row r="1057" ht="12.75">
      <c r="E1057" s="8"/>
      <c r="F1057" s="8"/>
      <c r="G1057" s="8"/>
      <c r="H1057" s="48"/>
      <c r="I1057" s="49"/>
      <c r="M1057" s="45"/>
      <c r="N1057" s="45"/>
      <c r="O1057" s="45"/>
      <c r="P1057" s="8"/>
      <c r="Q1057" s="8"/>
    </row>
    <row r="1058" ht="12.75">
      <c r="E1058" s="8"/>
      <c r="F1058" s="8"/>
      <c r="G1058" s="8"/>
      <c r="H1058" s="48"/>
      <c r="I1058" s="49"/>
      <c r="M1058" s="45"/>
      <c r="N1058" s="45"/>
      <c r="O1058" s="45"/>
      <c r="P1058" s="8"/>
      <c r="Q1058" s="8"/>
    </row>
    <row r="1059" ht="12.75">
      <c r="E1059" s="8"/>
      <c r="F1059" s="8"/>
      <c r="G1059" s="8"/>
      <c r="H1059" s="48"/>
      <c r="I1059" s="49"/>
      <c r="M1059" s="45"/>
      <c r="N1059" s="45"/>
      <c r="O1059" s="45"/>
      <c r="P1059" s="8"/>
      <c r="Q1059" s="8"/>
    </row>
    <row r="1060" ht="12.75">
      <c r="E1060" s="8"/>
      <c r="F1060" s="8"/>
      <c r="G1060" s="8"/>
      <c r="H1060" s="48"/>
      <c r="I1060" s="49"/>
      <c r="M1060" s="45"/>
      <c r="N1060" s="45"/>
      <c r="O1060" s="45"/>
      <c r="P1060" s="8"/>
      <c r="Q1060" s="8"/>
    </row>
    <row r="1061" ht="12.75">
      <c r="E1061" s="8"/>
      <c r="F1061" s="8"/>
      <c r="G1061" s="8"/>
      <c r="H1061" s="48"/>
      <c r="I1061" s="49"/>
      <c r="M1061" s="45"/>
      <c r="N1061" s="45"/>
      <c r="O1061" s="45"/>
      <c r="P1061" s="8"/>
      <c r="Q1061" s="8"/>
    </row>
    <row r="1062" ht="12.75">
      <c r="E1062" s="8"/>
      <c r="F1062" s="8"/>
      <c r="G1062" s="8"/>
      <c r="H1062" s="48"/>
      <c r="I1062" s="49"/>
      <c r="M1062" s="45"/>
      <c r="N1062" s="45"/>
      <c r="O1062" s="45"/>
      <c r="P1062" s="8"/>
      <c r="Q1062" s="8"/>
    </row>
    <row r="1063" ht="12.75">
      <c r="E1063" s="8"/>
      <c r="F1063" s="8"/>
      <c r="G1063" s="8"/>
      <c r="H1063" s="48"/>
      <c r="I1063" s="49"/>
      <c r="M1063" s="45"/>
      <c r="N1063" s="45"/>
      <c r="O1063" s="45"/>
      <c r="P1063" s="8"/>
      <c r="Q1063" s="8"/>
    </row>
    <row r="1064" ht="12.75">
      <c r="E1064" s="8"/>
      <c r="F1064" s="8"/>
      <c r="G1064" s="8"/>
      <c r="H1064" s="48"/>
      <c r="I1064" s="49"/>
      <c r="M1064" s="45"/>
      <c r="N1064" s="45"/>
      <c r="O1064" s="45"/>
      <c r="P1064" s="8"/>
      <c r="Q1064" s="8"/>
    </row>
    <row r="1065" ht="12.75">
      <c r="E1065" s="8"/>
      <c r="F1065" s="8"/>
      <c r="G1065" s="8"/>
      <c r="H1065" s="48"/>
      <c r="I1065" s="49"/>
      <c r="M1065" s="45"/>
      <c r="N1065" s="45"/>
      <c r="O1065" s="45"/>
      <c r="P1065" s="8"/>
      <c r="Q1065" s="8"/>
    </row>
    <row r="1066" ht="12.75">
      <c r="E1066" s="8"/>
      <c r="F1066" s="8"/>
      <c r="G1066" s="8"/>
      <c r="H1066" s="48"/>
      <c r="I1066" s="49"/>
      <c r="M1066" s="45"/>
      <c r="N1066" s="45"/>
      <c r="O1066" s="45"/>
      <c r="P1066" s="8"/>
      <c r="Q1066" s="8"/>
    </row>
    <row r="1067" ht="12.75">
      <c r="E1067" s="8"/>
      <c r="F1067" s="8"/>
      <c r="G1067" s="8"/>
      <c r="H1067" s="48"/>
      <c r="I1067" s="49"/>
      <c r="M1067" s="45"/>
      <c r="N1067" s="45"/>
      <c r="O1067" s="45"/>
      <c r="P1067" s="8"/>
      <c r="Q1067" s="8"/>
    </row>
    <row r="1068" ht="12.75">
      <c r="E1068" s="8"/>
      <c r="F1068" s="8"/>
      <c r="G1068" s="8"/>
      <c r="H1068" s="48"/>
      <c r="I1068" s="49"/>
      <c r="M1068" s="45"/>
      <c r="N1068" s="45"/>
      <c r="O1068" s="45"/>
      <c r="P1068" s="8"/>
      <c r="Q1068" s="8"/>
    </row>
    <row r="1069" ht="12.75">
      <c r="E1069" s="8"/>
      <c r="F1069" s="8"/>
      <c r="G1069" s="8"/>
      <c r="H1069" s="48"/>
      <c r="I1069" s="49"/>
      <c r="M1069" s="45"/>
      <c r="N1069" s="45"/>
      <c r="O1069" s="45"/>
      <c r="P1069" s="8"/>
      <c r="Q1069" s="8"/>
    </row>
    <row r="1070" ht="12.75">
      <c r="E1070" s="8"/>
      <c r="F1070" s="8"/>
      <c r="G1070" s="8"/>
      <c r="H1070" s="48"/>
      <c r="I1070" s="49"/>
      <c r="M1070" s="45"/>
      <c r="N1070" s="45"/>
      <c r="O1070" s="45"/>
      <c r="P1070" s="8"/>
      <c r="Q1070" s="8"/>
    </row>
    <row r="1071" ht="12.75">
      <c r="E1071" s="8"/>
      <c r="F1071" s="8"/>
      <c r="G1071" s="8"/>
      <c r="H1071" s="48"/>
      <c r="I1071" s="49"/>
      <c r="M1071" s="45"/>
      <c r="N1071" s="45"/>
      <c r="O1071" s="45"/>
      <c r="P1071" s="8"/>
      <c r="Q1071" s="8"/>
    </row>
    <row r="1072" ht="12.75">
      <c r="E1072" s="8"/>
      <c r="F1072" s="8"/>
      <c r="G1072" s="8"/>
      <c r="H1072" s="48"/>
      <c r="I1072" s="49"/>
      <c r="M1072" s="45"/>
      <c r="N1072" s="45"/>
      <c r="O1072" s="45"/>
      <c r="P1072" s="8"/>
      <c r="Q1072" s="8"/>
    </row>
    <row r="1073" ht="12.75">
      <c r="E1073" s="8"/>
      <c r="F1073" s="8"/>
      <c r="G1073" s="8"/>
      <c r="H1073" s="48"/>
      <c r="I1073" s="49"/>
      <c r="M1073" s="45"/>
      <c r="N1073" s="45"/>
      <c r="O1073" s="45"/>
      <c r="P1073" s="8"/>
      <c r="Q1073" s="8"/>
    </row>
    <row r="1074" ht="12.75">
      <c r="E1074" s="8"/>
      <c r="F1074" s="8"/>
      <c r="G1074" s="8"/>
      <c r="H1074" s="48"/>
      <c r="I1074" s="49"/>
      <c r="M1074" s="45"/>
      <c r="N1074" s="45"/>
      <c r="O1074" s="45"/>
      <c r="P1074" s="8"/>
      <c r="Q1074" s="8"/>
    </row>
    <row r="1075" ht="12.75">
      <c r="E1075" s="8"/>
      <c r="F1075" s="8"/>
      <c r="G1075" s="8"/>
      <c r="H1075" s="48"/>
      <c r="I1075" s="49"/>
      <c r="M1075" s="45"/>
      <c r="N1075" s="45"/>
      <c r="O1075" s="45"/>
      <c r="P1075" s="8"/>
      <c r="Q1075" s="8"/>
    </row>
    <row r="1076" ht="12.75">
      <c r="E1076" s="8"/>
      <c r="F1076" s="8"/>
      <c r="G1076" s="8"/>
      <c r="H1076" s="48"/>
      <c r="I1076" s="49"/>
      <c r="M1076" s="45"/>
      <c r="N1076" s="45"/>
      <c r="O1076" s="45"/>
      <c r="P1076" s="8"/>
      <c r="Q1076" s="8"/>
    </row>
    <row r="1077" ht="12.75">
      <c r="E1077" s="8"/>
      <c r="F1077" s="8"/>
      <c r="G1077" s="8"/>
      <c r="H1077" s="48"/>
      <c r="I1077" s="49"/>
      <c r="M1077" s="45"/>
      <c r="N1077" s="45"/>
      <c r="O1077" s="45"/>
      <c r="P1077" s="8"/>
      <c r="Q1077" s="8"/>
    </row>
    <row r="1078" ht="12.75">
      <c r="E1078" s="8"/>
      <c r="F1078" s="8"/>
      <c r="G1078" s="8"/>
      <c r="H1078" s="48"/>
      <c r="I1078" s="49"/>
      <c r="M1078" s="45"/>
      <c r="N1078" s="45"/>
      <c r="O1078" s="45"/>
      <c r="P1078" s="8"/>
      <c r="Q1078" s="8"/>
    </row>
    <row r="1079" ht="12.75">
      <c r="E1079" s="8"/>
      <c r="F1079" s="8"/>
      <c r="G1079" s="8"/>
      <c r="H1079" s="48"/>
      <c r="I1079" s="49"/>
      <c r="M1079" s="45"/>
      <c r="N1079" s="45"/>
      <c r="O1079" s="45"/>
      <c r="P1079" s="8"/>
      <c r="Q1079" s="8"/>
    </row>
    <row r="1080" ht="12.75">
      <c r="E1080" s="8"/>
      <c r="F1080" s="8"/>
      <c r="G1080" s="8"/>
      <c r="H1080" s="48"/>
      <c r="I1080" s="49"/>
      <c r="M1080" s="45"/>
      <c r="N1080" s="45"/>
      <c r="O1080" s="45"/>
      <c r="P1080" s="8"/>
      <c r="Q1080" s="8"/>
    </row>
    <row r="1081" ht="12.75">
      <c r="E1081" s="8"/>
      <c r="F1081" s="8"/>
      <c r="G1081" s="8"/>
      <c r="H1081" s="48"/>
      <c r="I1081" s="49"/>
      <c r="M1081" s="45"/>
      <c r="N1081" s="45"/>
      <c r="O1081" s="45"/>
      <c r="P1081" s="8"/>
      <c r="Q1081" s="8"/>
    </row>
    <row r="1082" ht="12.75">
      <c r="E1082" s="8"/>
      <c r="F1082" s="8"/>
      <c r="G1082" s="8"/>
      <c r="H1082" s="48"/>
      <c r="I1082" s="49"/>
      <c r="M1082" s="45"/>
      <c r="N1082" s="45"/>
      <c r="O1082" s="45"/>
      <c r="P1082" s="8"/>
      <c r="Q1082" s="8"/>
    </row>
    <row r="1083" ht="12.75">
      <c r="E1083" s="8"/>
      <c r="F1083" s="8"/>
      <c r="G1083" s="8"/>
      <c r="H1083" s="48"/>
      <c r="I1083" s="49"/>
      <c r="M1083" s="45"/>
      <c r="N1083" s="45"/>
      <c r="O1083" s="45"/>
      <c r="P1083" s="8"/>
      <c r="Q1083" s="8"/>
    </row>
    <row r="1084" ht="12.75">
      <c r="E1084" s="8"/>
      <c r="F1084" s="8"/>
      <c r="G1084" s="8"/>
      <c r="H1084" s="48"/>
      <c r="I1084" s="49"/>
      <c r="M1084" s="45"/>
      <c r="N1084" s="45"/>
      <c r="O1084" s="45"/>
      <c r="P1084" s="8"/>
      <c r="Q1084" s="8"/>
    </row>
    <row r="1085" ht="12.75">
      <c r="E1085" s="8"/>
      <c r="F1085" s="8"/>
      <c r="G1085" s="8"/>
      <c r="H1085" s="48"/>
      <c r="I1085" s="49"/>
      <c r="M1085" s="45"/>
      <c r="N1085" s="45"/>
      <c r="O1085" s="45"/>
      <c r="P1085" s="8"/>
      <c r="Q1085" s="8"/>
    </row>
    <row r="1086" ht="12.75">
      <c r="E1086" s="8"/>
      <c r="F1086" s="8"/>
      <c r="G1086" s="8"/>
      <c r="H1086" s="48"/>
      <c r="I1086" s="49"/>
      <c r="M1086" s="45"/>
      <c r="N1086" s="45"/>
      <c r="O1086" s="45"/>
      <c r="P1086" s="8"/>
      <c r="Q1086" s="8"/>
    </row>
    <row r="1087" ht="12.75">
      <c r="E1087" s="8"/>
      <c r="F1087" s="8"/>
      <c r="G1087" s="8"/>
      <c r="H1087" s="48"/>
      <c r="I1087" s="49"/>
      <c r="M1087" s="45"/>
      <c r="N1087" s="45"/>
      <c r="O1087" s="45"/>
      <c r="P1087" s="8"/>
      <c r="Q1087" s="8"/>
    </row>
    <row r="1088" ht="12.75">
      <c r="E1088" s="8"/>
      <c r="F1088" s="8"/>
      <c r="G1088" s="8"/>
      <c r="H1088" s="48"/>
      <c r="I1088" s="49"/>
      <c r="M1088" s="45"/>
      <c r="N1088" s="45"/>
      <c r="O1088" s="45"/>
      <c r="P1088" s="8"/>
      <c r="Q1088" s="8"/>
    </row>
    <row r="1089" ht="12.75">
      <c r="E1089" s="8"/>
      <c r="F1089" s="8"/>
      <c r="G1089" s="8"/>
      <c r="H1089" s="48"/>
      <c r="I1089" s="49"/>
      <c r="M1089" s="45"/>
      <c r="N1089" s="45"/>
      <c r="O1089" s="45"/>
      <c r="P1089" s="8"/>
      <c r="Q1089" s="8"/>
    </row>
    <row r="1090" ht="12.75">
      <c r="E1090" s="8"/>
      <c r="F1090" s="8"/>
      <c r="G1090" s="8"/>
      <c r="H1090" s="48"/>
      <c r="I1090" s="49"/>
      <c r="M1090" s="45"/>
      <c r="N1090" s="45"/>
      <c r="O1090" s="45"/>
      <c r="P1090" s="8"/>
      <c r="Q1090" s="8"/>
    </row>
    <row r="1091" ht="12.75">
      <c r="E1091" s="8"/>
      <c r="F1091" s="8"/>
      <c r="G1091" s="8"/>
      <c r="H1091" s="48"/>
      <c r="I1091" s="49"/>
      <c r="M1091" s="45"/>
      <c r="N1091" s="45"/>
      <c r="O1091" s="45"/>
      <c r="P1091" s="8"/>
      <c r="Q1091" s="8"/>
    </row>
    <row r="1092" ht="12.75">
      <c r="E1092" s="8"/>
      <c r="F1092" s="8"/>
      <c r="G1092" s="8"/>
      <c r="H1092" s="48"/>
      <c r="I1092" s="49"/>
      <c r="M1092" s="45"/>
      <c r="N1092" s="45"/>
      <c r="O1092" s="45"/>
      <c r="P1092" s="8"/>
      <c r="Q1092" s="8"/>
    </row>
    <row r="1093" ht="12.75">
      <c r="E1093" s="8"/>
      <c r="F1093" s="8"/>
      <c r="G1093" s="8"/>
      <c r="H1093" s="48"/>
      <c r="I1093" s="49"/>
      <c r="M1093" s="45"/>
      <c r="N1093" s="45"/>
      <c r="O1093" s="45"/>
      <c r="P1093" s="8"/>
      <c r="Q1093" s="8"/>
    </row>
    <row r="1094" ht="12.75">
      <c r="E1094" s="8"/>
      <c r="F1094" s="8"/>
      <c r="G1094" s="8"/>
      <c r="H1094" s="48"/>
      <c r="I1094" s="49"/>
      <c r="M1094" s="45"/>
      <c r="N1094" s="45"/>
      <c r="O1094" s="45"/>
      <c r="P1094" s="8"/>
      <c r="Q1094" s="8"/>
    </row>
    <row r="1095" ht="12.75">
      <c r="E1095" s="8"/>
      <c r="F1095" s="8"/>
      <c r="G1095" s="8"/>
      <c r="H1095" s="48"/>
      <c r="I1095" s="49"/>
      <c r="M1095" s="45"/>
      <c r="N1095" s="45"/>
      <c r="O1095" s="45"/>
      <c r="P1095" s="8"/>
      <c r="Q1095" s="8"/>
    </row>
    <row r="1096" ht="12.75">
      <c r="E1096" s="8"/>
      <c r="F1096" s="8"/>
      <c r="G1096" s="8"/>
      <c r="H1096" s="48"/>
      <c r="I1096" s="49"/>
      <c r="M1096" s="45"/>
      <c r="N1096" s="45"/>
      <c r="O1096" s="45"/>
      <c r="P1096" s="8"/>
      <c r="Q1096" s="8"/>
    </row>
    <row r="1097" ht="12.75">
      <c r="E1097" s="8"/>
      <c r="F1097" s="8"/>
      <c r="G1097" s="8"/>
      <c r="H1097" s="48"/>
      <c r="I1097" s="49"/>
      <c r="M1097" s="45"/>
      <c r="N1097" s="45"/>
      <c r="O1097" s="45"/>
      <c r="P1097" s="8"/>
      <c r="Q1097" s="8"/>
    </row>
    <row r="1098" ht="12.75">
      <c r="E1098" s="8"/>
      <c r="F1098" s="8"/>
      <c r="G1098" s="8"/>
      <c r="H1098" s="48"/>
      <c r="I1098" s="49"/>
      <c r="M1098" s="45"/>
      <c r="N1098" s="45"/>
      <c r="O1098" s="45"/>
      <c r="P1098" s="8"/>
      <c r="Q1098" s="8"/>
    </row>
    <row r="1099" ht="12.75">
      <c r="E1099" s="8"/>
      <c r="F1099" s="8"/>
      <c r="G1099" s="8"/>
      <c r="H1099" s="48"/>
      <c r="I1099" s="49"/>
      <c r="M1099" s="45"/>
      <c r="N1099" s="45"/>
      <c r="O1099" s="45"/>
      <c r="P1099" s="8"/>
      <c r="Q1099" s="8"/>
    </row>
    <row r="1100" ht="12.75">
      <c r="E1100" s="8"/>
      <c r="F1100" s="8"/>
      <c r="G1100" s="8"/>
      <c r="H1100" s="48"/>
      <c r="I1100" s="49"/>
      <c r="M1100" s="45"/>
      <c r="N1100" s="45"/>
      <c r="O1100" s="45"/>
      <c r="P1100" s="8"/>
      <c r="Q1100" s="8"/>
    </row>
    <row r="1101" ht="12.75">
      <c r="E1101" s="8"/>
      <c r="F1101" s="8"/>
      <c r="G1101" s="8"/>
      <c r="H1101" s="48"/>
      <c r="I1101" s="49"/>
      <c r="M1101" s="45"/>
      <c r="N1101" s="45"/>
      <c r="O1101" s="45"/>
      <c r="P1101" s="8"/>
      <c r="Q1101" s="8"/>
    </row>
    <row r="1102" ht="12.75">
      <c r="E1102" s="8"/>
      <c r="F1102" s="8"/>
      <c r="G1102" s="8"/>
      <c r="H1102" s="48"/>
      <c r="I1102" s="49"/>
      <c r="M1102" s="45"/>
      <c r="N1102" s="45"/>
      <c r="O1102" s="45"/>
      <c r="P1102" s="8"/>
      <c r="Q1102" s="8"/>
    </row>
    <row r="1103" ht="12.75">
      <c r="E1103" s="8"/>
      <c r="F1103" s="8"/>
      <c r="G1103" s="8"/>
      <c r="H1103" s="48"/>
      <c r="I1103" s="49"/>
      <c r="M1103" s="45"/>
      <c r="N1103" s="45"/>
      <c r="O1103" s="45"/>
      <c r="P1103" s="8"/>
      <c r="Q1103" s="8"/>
    </row>
    <row r="1104" ht="12.75">
      <c r="E1104" s="8"/>
      <c r="F1104" s="8"/>
      <c r="G1104" s="8"/>
      <c r="H1104" s="48"/>
      <c r="I1104" s="49"/>
      <c r="M1104" s="45"/>
      <c r="N1104" s="45"/>
      <c r="O1104" s="45"/>
      <c r="P1104" s="8"/>
      <c r="Q1104" s="8"/>
    </row>
    <row r="1105" ht="12.75">
      <c r="E1105" s="8"/>
      <c r="F1105" s="8"/>
      <c r="G1105" s="8"/>
      <c r="H1105" s="48"/>
      <c r="I1105" s="49"/>
      <c r="M1105" s="45"/>
      <c r="N1105" s="45"/>
      <c r="O1105" s="45"/>
      <c r="P1105" s="8"/>
      <c r="Q1105" s="8"/>
    </row>
    <row r="1106" ht="12.75">
      <c r="E1106" s="8"/>
      <c r="F1106" s="8"/>
      <c r="G1106" s="8"/>
      <c r="H1106" s="48"/>
      <c r="I1106" s="49"/>
      <c r="M1106" s="45"/>
      <c r="N1106" s="45"/>
      <c r="O1106" s="45"/>
      <c r="P1106" s="8"/>
      <c r="Q1106" s="8"/>
    </row>
    <row r="1107" ht="12.75">
      <c r="E1107" s="8"/>
      <c r="F1107" s="8"/>
      <c r="G1107" s="8"/>
      <c r="H1107" s="48"/>
      <c r="I1107" s="49"/>
      <c r="M1107" s="45"/>
      <c r="N1107" s="45"/>
      <c r="O1107" s="45"/>
      <c r="P1107" s="8"/>
      <c r="Q1107" s="8"/>
    </row>
    <row r="1108" ht="12.75">
      <c r="E1108" s="8"/>
      <c r="F1108" s="8"/>
      <c r="G1108" s="8"/>
      <c r="H1108" s="48"/>
      <c r="I1108" s="49"/>
      <c r="M1108" s="45"/>
      <c r="N1108" s="45"/>
      <c r="O1108" s="45"/>
      <c r="P1108" s="8"/>
      <c r="Q1108" s="8"/>
    </row>
    <row r="1109" ht="12.75">
      <c r="E1109" s="8"/>
      <c r="F1109" s="8"/>
      <c r="G1109" s="8"/>
      <c r="H1109" s="48"/>
      <c r="I1109" s="49"/>
      <c r="M1109" s="45"/>
      <c r="N1109" s="45"/>
      <c r="O1109" s="45"/>
      <c r="P1109" s="8"/>
      <c r="Q1109" s="8"/>
    </row>
    <row r="1110" ht="12.75">
      <c r="E1110" s="8"/>
      <c r="F1110" s="8"/>
      <c r="G1110" s="8"/>
      <c r="H1110" s="48"/>
      <c r="I1110" s="49"/>
      <c r="M1110" s="45"/>
      <c r="N1110" s="45"/>
      <c r="O1110" s="45"/>
      <c r="P1110" s="8"/>
      <c r="Q1110" s="8"/>
    </row>
    <row r="1111" ht="12.75">
      <c r="E1111" s="8"/>
      <c r="F1111" s="8"/>
      <c r="G1111" s="8"/>
      <c r="H1111" s="48"/>
      <c r="I1111" s="49"/>
      <c r="M1111" s="45"/>
      <c r="N1111" s="45"/>
      <c r="O1111" s="45"/>
      <c r="P1111" s="8"/>
      <c r="Q1111" s="8"/>
    </row>
    <row r="1112" ht="12.75">
      <c r="E1112" s="8"/>
      <c r="F1112" s="8"/>
      <c r="G1112" s="8"/>
      <c r="H1112" s="48"/>
      <c r="I1112" s="49"/>
      <c r="M1112" s="45"/>
      <c r="N1112" s="45"/>
      <c r="O1112" s="45"/>
      <c r="P1112" s="8"/>
      <c r="Q1112" s="8"/>
    </row>
    <row r="1113" ht="12.75">
      <c r="E1113" s="8"/>
      <c r="F1113" s="8"/>
      <c r="G1113" s="8"/>
      <c r="H1113" s="48"/>
      <c r="I1113" s="49"/>
      <c r="M1113" s="45"/>
      <c r="N1113" s="45"/>
      <c r="O1113" s="45"/>
      <c r="P1113" s="8"/>
      <c r="Q1113" s="8"/>
    </row>
    <row r="1114" ht="12.75">
      <c r="E1114" s="8"/>
      <c r="F1114" s="8"/>
      <c r="G1114" s="8"/>
      <c r="H1114" s="48"/>
      <c r="I1114" s="49"/>
      <c r="M1114" s="45"/>
      <c r="N1114" s="45"/>
      <c r="O1114" s="45"/>
      <c r="P1114" s="8"/>
      <c r="Q1114" s="8"/>
    </row>
    <row r="1115" ht="12.75">
      <c r="E1115" s="8"/>
      <c r="F1115" s="8"/>
      <c r="G1115" s="8"/>
      <c r="H1115" s="48"/>
      <c r="I1115" s="49"/>
      <c r="M1115" s="45"/>
      <c r="N1115" s="45"/>
      <c r="O1115" s="45"/>
      <c r="P1115" s="8"/>
      <c r="Q1115" s="8"/>
    </row>
    <row r="1116" ht="12.75">
      <c r="E1116" s="8"/>
      <c r="F1116" s="8"/>
      <c r="G1116" s="8"/>
      <c r="H1116" s="48"/>
      <c r="I1116" s="49"/>
      <c r="M1116" s="45"/>
      <c r="N1116" s="45"/>
      <c r="O1116" s="45"/>
      <c r="P1116" s="8"/>
      <c r="Q1116" s="8"/>
    </row>
    <row r="1117" ht="12.75">
      <c r="E1117" s="8"/>
      <c r="F1117" s="8"/>
      <c r="G1117" s="8"/>
      <c r="H1117" s="48"/>
      <c r="I1117" s="49"/>
      <c r="M1117" s="45"/>
      <c r="N1117" s="45"/>
      <c r="O1117" s="45"/>
      <c r="P1117" s="8"/>
      <c r="Q1117" s="8"/>
    </row>
    <row r="1118" ht="12.75">
      <c r="E1118" s="8"/>
      <c r="F1118" s="8"/>
      <c r="G1118" s="8"/>
      <c r="H1118" s="48"/>
      <c r="I1118" s="49"/>
      <c r="M1118" s="45"/>
      <c r="N1118" s="45"/>
      <c r="O1118" s="45"/>
      <c r="P1118" s="8"/>
      <c r="Q1118" s="8"/>
    </row>
    <row r="1119" ht="12.75">
      <c r="E1119" s="8"/>
      <c r="F1119" s="8"/>
      <c r="G1119" s="8"/>
      <c r="H1119" s="48"/>
      <c r="I1119" s="49"/>
      <c r="M1119" s="45"/>
      <c r="N1119" s="45"/>
      <c r="O1119" s="45"/>
      <c r="P1119" s="8"/>
      <c r="Q1119" s="8"/>
    </row>
    <row r="1120" ht="12.75">
      <c r="E1120" s="8"/>
      <c r="F1120" s="8"/>
      <c r="G1120" s="8"/>
      <c r="H1120" s="48"/>
      <c r="I1120" s="49"/>
      <c r="M1120" s="45"/>
      <c r="N1120" s="45"/>
      <c r="O1120" s="45"/>
      <c r="P1120" s="8"/>
      <c r="Q1120" s="8"/>
    </row>
    <row r="1121" ht="12.75">
      <c r="E1121" s="8"/>
      <c r="F1121" s="8"/>
      <c r="G1121" s="8"/>
      <c r="H1121" s="48"/>
      <c r="I1121" s="49"/>
      <c r="M1121" s="45"/>
      <c r="N1121" s="45"/>
      <c r="O1121" s="45"/>
      <c r="P1121" s="8"/>
      <c r="Q1121" s="8"/>
    </row>
    <row r="1122" ht="12.75">
      <c r="E1122" s="8"/>
      <c r="F1122" s="8"/>
      <c r="G1122" s="8"/>
      <c r="H1122" s="48"/>
      <c r="I1122" s="49"/>
      <c r="M1122" s="45"/>
      <c r="N1122" s="45"/>
      <c r="O1122" s="45"/>
      <c r="P1122" s="8"/>
      <c r="Q1122" s="8"/>
    </row>
    <row r="1123" ht="12.75">
      <c r="E1123" s="8"/>
      <c r="F1123" s="8"/>
      <c r="G1123" s="8"/>
      <c r="H1123" s="48"/>
      <c r="I1123" s="49"/>
      <c r="M1123" s="45"/>
      <c r="N1123" s="45"/>
      <c r="O1123" s="45"/>
      <c r="P1123" s="8"/>
      <c r="Q1123" s="8"/>
    </row>
    <row r="1124" ht="12.75">
      <c r="E1124" s="8"/>
      <c r="F1124" s="8"/>
      <c r="G1124" s="8"/>
      <c r="H1124" s="48"/>
      <c r="I1124" s="49"/>
      <c r="M1124" s="45"/>
      <c r="N1124" s="45"/>
      <c r="O1124" s="45"/>
      <c r="P1124" s="8"/>
      <c r="Q1124" s="8"/>
    </row>
    <row r="1125" ht="12.75">
      <c r="E1125" s="8"/>
      <c r="F1125" s="8"/>
      <c r="G1125" s="8"/>
      <c r="H1125" s="48"/>
      <c r="I1125" s="49"/>
      <c r="M1125" s="45"/>
      <c r="N1125" s="45"/>
      <c r="O1125" s="45"/>
      <c r="P1125" s="8"/>
      <c r="Q1125" s="8"/>
    </row>
    <row r="1126" ht="12.75">
      <c r="E1126" s="8"/>
      <c r="F1126" s="8"/>
      <c r="G1126" s="8"/>
      <c r="H1126" s="48"/>
      <c r="I1126" s="49"/>
      <c r="M1126" s="45"/>
      <c r="N1126" s="45"/>
      <c r="O1126" s="45"/>
      <c r="P1126" s="8"/>
      <c r="Q1126" s="8"/>
    </row>
    <row r="1127" ht="12.75">
      <c r="E1127" s="8"/>
      <c r="F1127" s="8"/>
      <c r="G1127" s="8"/>
      <c r="H1127" s="48"/>
      <c r="I1127" s="49"/>
      <c r="M1127" s="45"/>
      <c r="N1127" s="45"/>
      <c r="O1127" s="45"/>
      <c r="P1127" s="8"/>
      <c r="Q1127" s="8"/>
    </row>
    <row r="1128" ht="12.75">
      <c r="E1128" s="8"/>
      <c r="F1128" s="8"/>
      <c r="G1128" s="8"/>
      <c r="H1128" s="48"/>
      <c r="I1128" s="49"/>
      <c r="M1128" s="45"/>
      <c r="N1128" s="45"/>
      <c r="O1128" s="45"/>
      <c r="P1128" s="8"/>
      <c r="Q1128" s="8"/>
    </row>
    <row r="1129" ht="12.75">
      <c r="E1129" s="8"/>
      <c r="F1129" s="8"/>
      <c r="G1129" s="8"/>
      <c r="H1129" s="48"/>
      <c r="I1129" s="49"/>
      <c r="M1129" s="45"/>
      <c r="N1129" s="45"/>
      <c r="O1129" s="45"/>
      <c r="P1129" s="8"/>
      <c r="Q1129" s="8"/>
    </row>
    <row r="1130" ht="12.75">
      <c r="E1130" s="8"/>
      <c r="F1130" s="8"/>
      <c r="G1130" s="8"/>
      <c r="H1130" s="48"/>
      <c r="I1130" s="49"/>
      <c r="M1130" s="45"/>
      <c r="N1130" s="45"/>
      <c r="O1130" s="45"/>
      <c r="P1130" s="8"/>
      <c r="Q1130" s="8"/>
    </row>
    <row r="1131" ht="12.75">
      <c r="E1131" s="8"/>
      <c r="F1131" s="8"/>
      <c r="G1131" s="8"/>
      <c r="H1131" s="48"/>
      <c r="I1131" s="49"/>
      <c r="M1131" s="45"/>
      <c r="N1131" s="45"/>
      <c r="O1131" s="45"/>
      <c r="P1131" s="8"/>
      <c r="Q1131" s="8"/>
    </row>
    <row r="1132" ht="12.75">
      <c r="E1132" s="8"/>
      <c r="F1132" s="8"/>
      <c r="G1132" s="8"/>
      <c r="H1132" s="48"/>
      <c r="I1132" s="49"/>
      <c r="M1132" s="45"/>
      <c r="N1132" s="45"/>
      <c r="O1132" s="45"/>
      <c r="P1132" s="8"/>
      <c r="Q1132" s="8"/>
    </row>
    <row r="1133" ht="12.75">
      <c r="E1133" s="8"/>
      <c r="F1133" s="8"/>
      <c r="G1133" s="8"/>
      <c r="H1133" s="48"/>
      <c r="I1133" s="49"/>
      <c r="M1133" s="45"/>
      <c r="N1133" s="45"/>
      <c r="O1133" s="45"/>
      <c r="P1133" s="8"/>
      <c r="Q1133" s="8"/>
    </row>
    <row r="1134" ht="12.75">
      <c r="E1134" s="8"/>
      <c r="F1134" s="8"/>
      <c r="G1134" s="8"/>
      <c r="H1134" s="48"/>
      <c r="I1134" s="49"/>
      <c r="M1134" s="45"/>
      <c r="N1134" s="45"/>
      <c r="O1134" s="45"/>
      <c r="P1134" s="8"/>
      <c r="Q1134" s="8"/>
    </row>
    <row r="1135" ht="12.75">
      <c r="E1135" s="8"/>
      <c r="F1135" s="8"/>
      <c r="G1135" s="8"/>
      <c r="H1135" s="48"/>
      <c r="I1135" s="49"/>
      <c r="M1135" s="45"/>
      <c r="N1135" s="45"/>
      <c r="O1135" s="45"/>
      <c r="P1135" s="8"/>
      <c r="Q1135" s="8"/>
    </row>
    <row r="1136" ht="12.75">
      <c r="E1136" s="8"/>
      <c r="F1136" s="8"/>
      <c r="G1136" s="8"/>
      <c r="H1136" s="48"/>
      <c r="I1136" s="49"/>
      <c r="M1136" s="45"/>
      <c r="N1136" s="45"/>
      <c r="O1136" s="45"/>
      <c r="P1136" s="8"/>
      <c r="Q1136" s="8"/>
    </row>
    <row r="1137" ht="12.75">
      <c r="E1137" s="8"/>
      <c r="F1137" s="8"/>
      <c r="G1137" s="8"/>
      <c r="H1137" s="48"/>
      <c r="I1137" s="49"/>
      <c r="M1137" s="45"/>
      <c r="N1137" s="45"/>
      <c r="O1137" s="45"/>
      <c r="P1137" s="8"/>
      <c r="Q1137" s="8"/>
    </row>
    <row r="1138" ht="12.75">
      <c r="E1138" s="8"/>
      <c r="F1138" s="8"/>
      <c r="G1138" s="8"/>
      <c r="H1138" s="48"/>
      <c r="I1138" s="49"/>
      <c r="M1138" s="45"/>
      <c r="N1138" s="45"/>
      <c r="O1138" s="45"/>
      <c r="P1138" s="8"/>
      <c r="Q1138" s="8"/>
    </row>
    <row r="1139" ht="12.75">
      <c r="E1139" s="8"/>
      <c r="F1139" s="8"/>
      <c r="G1139" s="8"/>
      <c r="H1139" s="48"/>
      <c r="I1139" s="49"/>
      <c r="M1139" s="45"/>
      <c r="N1139" s="45"/>
      <c r="O1139" s="45"/>
      <c r="P1139" s="8"/>
      <c r="Q1139" s="8"/>
    </row>
    <row r="1140" ht="12.75">
      <c r="E1140" s="8"/>
      <c r="F1140" s="8"/>
      <c r="G1140" s="8"/>
      <c r="H1140" s="48"/>
      <c r="I1140" s="49"/>
      <c r="M1140" s="45"/>
      <c r="N1140" s="45"/>
      <c r="O1140" s="45"/>
      <c r="P1140" s="8"/>
      <c r="Q1140" s="8"/>
    </row>
    <row r="1141" ht="12.75">
      <c r="E1141" s="8"/>
      <c r="F1141" s="8"/>
      <c r="G1141" s="8"/>
      <c r="H1141" s="48"/>
      <c r="I1141" s="49"/>
      <c r="M1141" s="45"/>
      <c r="N1141" s="45"/>
      <c r="O1141" s="45"/>
      <c r="P1141" s="8"/>
      <c r="Q1141" s="8"/>
    </row>
    <row r="1142" ht="12.75">
      <c r="E1142" s="8"/>
      <c r="F1142" s="8"/>
      <c r="G1142" s="8"/>
      <c r="H1142" s="48"/>
      <c r="I1142" s="49"/>
      <c r="M1142" s="45"/>
      <c r="N1142" s="45"/>
      <c r="O1142" s="45"/>
      <c r="P1142" s="8"/>
      <c r="Q1142" s="8"/>
    </row>
    <row r="1143" ht="12.75">
      <c r="E1143" s="8"/>
      <c r="F1143" s="8"/>
      <c r="G1143" s="8"/>
      <c r="H1143" s="48"/>
      <c r="I1143" s="49"/>
      <c r="M1143" s="45"/>
      <c r="N1143" s="45"/>
      <c r="O1143" s="45"/>
      <c r="P1143" s="8"/>
      <c r="Q1143" s="8"/>
    </row>
    <row r="1144" ht="12.75">
      <c r="E1144" s="8"/>
      <c r="F1144" s="8"/>
      <c r="G1144" s="8"/>
      <c r="H1144" s="48"/>
      <c r="I1144" s="49"/>
      <c r="M1144" s="45"/>
      <c r="N1144" s="45"/>
      <c r="O1144" s="45"/>
      <c r="P1144" s="8"/>
      <c r="Q1144" s="8"/>
    </row>
    <row r="1145" ht="12.75">
      <c r="E1145" s="8"/>
      <c r="F1145" s="8"/>
      <c r="G1145" s="8"/>
      <c r="H1145" s="48"/>
      <c r="I1145" s="49"/>
      <c r="M1145" s="45"/>
      <c r="N1145" s="45"/>
      <c r="O1145" s="45"/>
      <c r="P1145" s="8"/>
      <c r="Q1145" s="8"/>
    </row>
    <row r="1146" ht="12.75">
      <c r="E1146" s="8"/>
      <c r="F1146" s="8"/>
      <c r="G1146" s="8"/>
      <c r="H1146" s="48"/>
      <c r="I1146" s="49"/>
      <c r="M1146" s="45"/>
      <c r="N1146" s="45"/>
      <c r="O1146" s="45"/>
      <c r="P1146" s="8"/>
      <c r="Q1146" s="8"/>
    </row>
    <row r="1147" ht="12.75">
      <c r="E1147" s="8"/>
      <c r="F1147" s="8"/>
      <c r="G1147" s="8"/>
      <c r="H1147" s="48"/>
      <c r="I1147" s="49"/>
      <c r="M1147" s="45"/>
      <c r="N1147" s="45"/>
      <c r="O1147" s="45"/>
      <c r="P1147" s="8"/>
      <c r="Q1147" s="8"/>
    </row>
    <row r="1148" ht="12.75">
      <c r="E1148" s="8"/>
      <c r="F1148" s="8"/>
      <c r="G1148" s="8"/>
      <c r="H1148" s="48"/>
      <c r="I1148" s="49"/>
      <c r="M1148" s="45"/>
      <c r="N1148" s="45"/>
      <c r="O1148" s="45"/>
      <c r="P1148" s="8"/>
      <c r="Q1148" s="8"/>
    </row>
    <row r="1149" ht="12.75">
      <c r="E1149" s="8"/>
      <c r="F1149" s="8"/>
      <c r="G1149" s="8"/>
      <c r="H1149" s="48"/>
      <c r="I1149" s="49"/>
      <c r="M1149" s="45"/>
      <c r="N1149" s="45"/>
      <c r="O1149" s="45"/>
      <c r="P1149" s="8"/>
      <c r="Q1149" s="8"/>
    </row>
    <row r="1150" ht="12.75">
      <c r="E1150" s="8"/>
      <c r="F1150" s="8"/>
      <c r="G1150" s="8"/>
      <c r="H1150" s="48"/>
      <c r="I1150" s="49"/>
      <c r="M1150" s="45"/>
      <c r="N1150" s="45"/>
      <c r="O1150" s="45"/>
      <c r="P1150" s="8"/>
      <c r="Q1150" s="8"/>
    </row>
    <row r="1151" ht="12.75">
      <c r="E1151" s="8"/>
      <c r="F1151" s="8"/>
      <c r="G1151" s="8"/>
      <c r="H1151" s="48"/>
      <c r="I1151" s="49"/>
      <c r="M1151" s="45"/>
      <c r="N1151" s="45"/>
      <c r="O1151" s="45"/>
      <c r="P1151" s="8"/>
      <c r="Q1151" s="8"/>
    </row>
    <row r="1152" ht="12.75">
      <c r="E1152" s="8"/>
      <c r="F1152" s="8"/>
      <c r="G1152" s="8"/>
      <c r="H1152" s="48"/>
      <c r="I1152" s="49"/>
      <c r="M1152" s="45"/>
      <c r="N1152" s="45"/>
      <c r="O1152" s="45"/>
      <c r="P1152" s="8"/>
      <c r="Q1152" s="8"/>
    </row>
    <row r="1153" ht="12.75">
      <c r="E1153" s="8"/>
      <c r="F1153" s="8"/>
      <c r="G1153" s="8"/>
      <c r="H1153" s="48"/>
      <c r="I1153" s="49"/>
      <c r="M1153" s="45"/>
      <c r="N1153" s="45"/>
      <c r="O1153" s="45"/>
      <c r="P1153" s="8"/>
      <c r="Q1153" s="8"/>
    </row>
    <row r="1154" ht="12.75">
      <c r="E1154" s="8"/>
      <c r="F1154" s="8"/>
      <c r="G1154" s="8"/>
      <c r="H1154" s="48"/>
      <c r="I1154" s="49"/>
      <c r="M1154" s="45"/>
      <c r="N1154" s="45"/>
      <c r="O1154" s="45"/>
      <c r="P1154" s="8"/>
      <c r="Q1154" s="8"/>
    </row>
    <row r="1155" ht="12.75">
      <c r="E1155" s="8"/>
      <c r="F1155" s="8"/>
      <c r="G1155" s="8"/>
      <c r="H1155" s="48"/>
      <c r="I1155" s="49"/>
      <c r="M1155" s="45"/>
      <c r="N1155" s="45"/>
      <c r="O1155" s="45"/>
      <c r="P1155" s="8"/>
      <c r="Q1155" s="8"/>
    </row>
    <row r="1156" ht="12.75">
      <c r="E1156" s="8"/>
      <c r="F1156" s="8"/>
      <c r="G1156" s="8"/>
      <c r="H1156" s="48"/>
      <c r="I1156" s="49"/>
      <c r="M1156" s="45"/>
      <c r="N1156" s="45"/>
      <c r="O1156" s="45"/>
      <c r="P1156" s="8"/>
      <c r="Q1156" s="8"/>
    </row>
    <row r="1157" ht="12.75">
      <c r="E1157" s="8"/>
      <c r="F1157" s="8"/>
      <c r="G1157" s="8"/>
      <c r="H1157" s="48"/>
      <c r="I1157" s="49"/>
      <c r="M1157" s="45"/>
      <c r="N1157" s="45"/>
      <c r="O1157" s="45"/>
      <c r="P1157" s="8"/>
      <c r="Q1157" s="8"/>
    </row>
    <row r="1158" ht="12.75">
      <c r="E1158" s="8"/>
      <c r="F1158" s="8"/>
      <c r="G1158" s="8"/>
      <c r="H1158" s="48"/>
      <c r="I1158" s="49"/>
      <c r="M1158" s="45"/>
      <c r="N1158" s="45"/>
      <c r="O1158" s="45"/>
      <c r="P1158" s="8"/>
      <c r="Q1158" s="8"/>
    </row>
    <row r="1159" ht="12.75">
      <c r="E1159" s="8"/>
      <c r="F1159" s="8"/>
      <c r="G1159" s="8"/>
      <c r="H1159" s="48"/>
      <c r="I1159" s="49"/>
      <c r="M1159" s="45"/>
      <c r="N1159" s="45"/>
      <c r="O1159" s="45"/>
      <c r="P1159" s="8"/>
      <c r="Q1159" s="8"/>
    </row>
    <row r="1160" ht="12.75">
      <c r="E1160" s="8"/>
      <c r="F1160" s="8"/>
      <c r="G1160" s="8"/>
      <c r="H1160" s="48"/>
      <c r="I1160" s="49"/>
      <c r="M1160" s="45"/>
      <c r="N1160" s="45"/>
      <c r="O1160" s="45"/>
      <c r="P1160" s="8"/>
      <c r="Q1160" s="8"/>
    </row>
    <row r="1161" ht="12.75">
      <c r="E1161" s="8"/>
      <c r="F1161" s="8"/>
      <c r="G1161" s="8"/>
      <c r="H1161" s="48"/>
      <c r="I1161" s="49"/>
      <c r="M1161" s="45"/>
      <c r="N1161" s="45"/>
      <c r="O1161" s="45"/>
      <c r="P1161" s="8"/>
      <c r="Q1161" s="8"/>
    </row>
    <row r="1162" ht="12.75">
      <c r="E1162" s="8"/>
      <c r="F1162" s="8"/>
      <c r="G1162" s="8"/>
      <c r="H1162" s="48"/>
      <c r="I1162" s="49"/>
      <c r="M1162" s="45"/>
      <c r="N1162" s="45"/>
      <c r="O1162" s="45"/>
      <c r="P1162" s="8"/>
      <c r="Q1162" s="8"/>
    </row>
    <row r="1163" ht="12.75">
      <c r="E1163" s="8"/>
      <c r="F1163" s="8"/>
      <c r="G1163" s="8"/>
      <c r="H1163" s="48"/>
      <c r="I1163" s="49"/>
      <c r="M1163" s="45"/>
      <c r="N1163" s="45"/>
      <c r="O1163" s="45"/>
      <c r="P1163" s="8"/>
      <c r="Q1163" s="8"/>
    </row>
    <row r="1164" ht="12.75">
      <c r="E1164" s="8"/>
      <c r="F1164" s="8"/>
      <c r="G1164" s="8"/>
      <c r="H1164" s="48"/>
      <c r="I1164" s="49"/>
      <c r="M1164" s="45"/>
      <c r="N1164" s="45"/>
      <c r="O1164" s="45"/>
      <c r="P1164" s="8"/>
      <c r="Q1164" s="8"/>
    </row>
    <row r="1165" ht="12.75">
      <c r="E1165" s="8"/>
      <c r="F1165" s="8"/>
      <c r="G1165" s="8"/>
      <c r="H1165" s="48"/>
      <c r="I1165" s="49"/>
      <c r="M1165" s="45"/>
      <c r="N1165" s="45"/>
      <c r="O1165" s="45"/>
      <c r="P1165" s="8"/>
      <c r="Q1165" s="8"/>
    </row>
    <row r="1166" ht="12.75">
      <c r="E1166" s="8"/>
      <c r="F1166" s="8"/>
      <c r="G1166" s="8"/>
      <c r="H1166" s="48"/>
      <c r="I1166" s="49"/>
      <c r="M1166" s="45"/>
      <c r="N1166" s="45"/>
      <c r="O1166" s="45"/>
      <c r="P1166" s="8"/>
      <c r="Q1166" s="8"/>
    </row>
    <row r="1167" ht="12.75">
      <c r="E1167" s="8"/>
      <c r="F1167" s="8"/>
      <c r="G1167" s="8"/>
      <c r="H1167" s="48"/>
      <c r="I1167" s="49"/>
      <c r="M1167" s="45"/>
      <c r="N1167" s="45"/>
      <c r="O1167" s="45"/>
      <c r="P1167" s="8"/>
      <c r="Q1167" s="8"/>
    </row>
    <row r="1168" ht="12.75">
      <c r="E1168" s="8"/>
      <c r="F1168" s="8"/>
      <c r="G1168" s="8"/>
      <c r="H1168" s="48"/>
      <c r="I1168" s="49"/>
      <c r="M1168" s="45"/>
      <c r="N1168" s="45"/>
      <c r="O1168" s="45"/>
      <c r="P1168" s="8"/>
      <c r="Q1168" s="8"/>
    </row>
    <row r="1169" ht="12.75">
      <c r="E1169" s="8"/>
      <c r="F1169" s="8"/>
      <c r="G1169" s="8"/>
      <c r="H1169" s="48"/>
      <c r="I1169" s="49"/>
      <c r="M1169" s="45"/>
      <c r="N1169" s="45"/>
      <c r="O1169" s="45"/>
      <c r="P1169" s="8"/>
      <c r="Q1169" s="8"/>
    </row>
    <row r="1170" ht="12.75">
      <c r="E1170" s="8"/>
      <c r="F1170" s="8"/>
      <c r="G1170" s="8"/>
      <c r="H1170" s="48"/>
      <c r="I1170" s="49"/>
      <c r="M1170" s="45"/>
      <c r="N1170" s="45"/>
      <c r="O1170" s="45"/>
      <c r="P1170" s="8"/>
      <c r="Q1170" s="8"/>
    </row>
    <row r="1171" ht="12.75">
      <c r="E1171" s="8"/>
      <c r="F1171" s="8"/>
      <c r="G1171" s="8"/>
      <c r="H1171" s="48"/>
      <c r="I1171" s="49"/>
      <c r="M1171" s="45"/>
      <c r="N1171" s="45"/>
      <c r="O1171" s="45"/>
      <c r="P1171" s="8"/>
      <c r="Q1171" s="8"/>
    </row>
    <row r="1172" ht="12.75">
      <c r="E1172" s="8"/>
      <c r="F1172" s="8"/>
      <c r="G1172" s="8"/>
      <c r="H1172" s="48"/>
      <c r="I1172" s="49"/>
      <c r="M1172" s="45"/>
      <c r="N1172" s="45"/>
      <c r="O1172" s="45"/>
      <c r="P1172" s="8"/>
      <c r="Q1172" s="8"/>
    </row>
    <row r="1173" ht="12.75">
      <c r="E1173" s="8"/>
      <c r="F1173" s="8"/>
      <c r="G1173" s="8"/>
      <c r="H1173" s="48"/>
      <c r="I1173" s="49"/>
      <c r="M1173" s="45"/>
      <c r="N1173" s="45"/>
      <c r="O1173" s="45"/>
      <c r="P1173" s="8"/>
      <c r="Q1173" s="8"/>
    </row>
    <row r="1174" ht="12.75">
      <c r="E1174" s="8"/>
      <c r="F1174" s="8"/>
      <c r="G1174" s="8"/>
      <c r="H1174" s="48"/>
      <c r="I1174" s="49"/>
      <c r="M1174" s="45"/>
      <c r="N1174" s="45"/>
      <c r="O1174" s="45"/>
      <c r="P1174" s="8"/>
      <c r="Q1174" s="8"/>
    </row>
    <row r="1175" ht="12.75">
      <c r="E1175" s="8"/>
      <c r="F1175" s="8"/>
      <c r="G1175" s="8"/>
      <c r="H1175" s="48"/>
      <c r="I1175" s="49"/>
      <c r="M1175" s="45"/>
      <c r="N1175" s="45"/>
      <c r="O1175" s="45"/>
      <c r="P1175" s="8"/>
      <c r="Q1175" s="8"/>
    </row>
    <row r="1176" ht="12.75">
      <c r="E1176" s="8"/>
      <c r="F1176" s="8"/>
      <c r="G1176" s="8"/>
      <c r="H1176" s="48"/>
      <c r="I1176" s="49"/>
      <c r="M1176" s="45"/>
      <c r="N1176" s="45"/>
      <c r="O1176" s="45"/>
      <c r="P1176" s="8"/>
      <c r="Q1176" s="8"/>
    </row>
    <row r="1177" ht="12.75">
      <c r="E1177" s="8"/>
      <c r="F1177" s="8"/>
      <c r="G1177" s="8"/>
      <c r="H1177" s="48"/>
      <c r="I1177" s="49"/>
      <c r="M1177" s="45"/>
      <c r="N1177" s="45"/>
      <c r="O1177" s="45"/>
      <c r="P1177" s="8"/>
      <c r="Q1177" s="8"/>
    </row>
    <row r="1178" ht="12.75">
      <c r="E1178" s="8"/>
      <c r="F1178" s="8"/>
      <c r="G1178" s="8"/>
      <c r="H1178" s="48"/>
      <c r="I1178" s="49"/>
      <c r="M1178" s="45"/>
      <c r="N1178" s="45"/>
      <c r="O1178" s="45"/>
      <c r="P1178" s="8"/>
      <c r="Q1178" s="8"/>
    </row>
    <row r="1179" ht="12.75">
      <c r="E1179" s="8"/>
      <c r="F1179" s="8"/>
      <c r="G1179" s="8"/>
      <c r="H1179" s="48"/>
      <c r="I1179" s="49"/>
      <c r="M1179" s="45"/>
      <c r="N1179" s="45"/>
      <c r="O1179" s="45"/>
      <c r="P1179" s="8"/>
      <c r="Q1179" s="8"/>
    </row>
    <row r="1180" ht="12.75">
      <c r="E1180" s="8"/>
      <c r="F1180" s="8"/>
      <c r="G1180" s="8"/>
      <c r="H1180" s="48"/>
      <c r="I1180" s="49"/>
      <c r="M1180" s="45"/>
      <c r="N1180" s="45"/>
      <c r="O1180" s="45"/>
      <c r="P1180" s="8"/>
      <c r="Q1180" s="8"/>
    </row>
    <row r="1181" ht="12.75">
      <c r="E1181" s="8"/>
      <c r="F1181" s="8"/>
      <c r="G1181" s="8"/>
      <c r="H1181" s="48"/>
      <c r="I1181" s="49"/>
      <c r="M1181" s="45"/>
      <c r="N1181" s="45"/>
      <c r="O1181" s="45"/>
      <c r="P1181" s="8"/>
      <c r="Q1181" s="8"/>
    </row>
    <row r="1182" ht="12.75">
      <c r="E1182" s="8"/>
      <c r="F1182" s="8"/>
      <c r="G1182" s="8"/>
      <c r="H1182" s="48"/>
      <c r="I1182" s="49"/>
      <c r="M1182" s="45"/>
      <c r="N1182" s="45"/>
      <c r="O1182" s="45"/>
      <c r="P1182" s="8"/>
      <c r="Q1182" s="8"/>
    </row>
    <row r="1183" ht="12.75">
      <c r="E1183" s="8"/>
      <c r="F1183" s="8"/>
      <c r="G1183" s="8"/>
      <c r="H1183" s="48"/>
      <c r="I1183" s="49"/>
      <c r="M1183" s="45"/>
      <c r="N1183" s="45"/>
      <c r="O1183" s="45"/>
      <c r="P1183" s="8"/>
      <c r="Q1183" s="8"/>
    </row>
    <row r="1184" ht="12.75">
      <c r="E1184" s="8"/>
      <c r="F1184" s="8"/>
      <c r="G1184" s="8"/>
      <c r="H1184" s="48"/>
      <c r="I1184" s="49"/>
      <c r="M1184" s="45"/>
      <c r="N1184" s="45"/>
      <c r="O1184" s="45"/>
      <c r="P1184" s="8"/>
      <c r="Q1184" s="8"/>
    </row>
    <row r="1185" ht="12.75">
      <c r="E1185" s="8"/>
      <c r="F1185" s="8"/>
      <c r="G1185" s="8"/>
      <c r="H1185" s="48"/>
      <c r="I1185" s="49"/>
      <c r="M1185" s="45"/>
      <c r="N1185" s="45"/>
      <c r="O1185" s="45"/>
      <c r="P1185" s="8"/>
      <c r="Q1185" s="8"/>
    </row>
    <row r="1186" ht="12.75">
      <c r="E1186" s="8"/>
      <c r="F1186" s="8"/>
      <c r="G1186" s="8"/>
      <c r="H1186" s="48"/>
      <c r="I1186" s="49"/>
      <c r="M1186" s="45"/>
      <c r="N1186" s="45"/>
      <c r="O1186" s="45"/>
      <c r="P1186" s="8"/>
      <c r="Q1186" s="8"/>
    </row>
    <row r="1187" ht="12.75">
      <c r="E1187" s="8"/>
      <c r="F1187" s="8"/>
      <c r="G1187" s="8"/>
      <c r="H1187" s="48"/>
      <c r="I1187" s="49"/>
      <c r="M1187" s="45"/>
      <c r="N1187" s="45"/>
      <c r="O1187" s="45"/>
      <c r="P1187" s="8"/>
      <c r="Q1187" s="8"/>
    </row>
    <row r="1188" ht="12.75">
      <c r="E1188" s="8"/>
      <c r="F1188" s="8"/>
      <c r="G1188" s="8"/>
      <c r="H1188" s="48"/>
      <c r="I1188" s="49"/>
      <c r="M1188" s="45"/>
      <c r="N1188" s="45"/>
      <c r="O1188" s="45"/>
      <c r="P1188" s="8"/>
      <c r="Q1188" s="8"/>
    </row>
    <row r="1189" ht="12.75">
      <c r="E1189" s="8"/>
      <c r="F1189" s="8"/>
      <c r="G1189" s="8"/>
      <c r="H1189" s="48"/>
      <c r="I1189" s="49"/>
      <c r="M1189" s="45"/>
      <c r="N1189" s="45"/>
      <c r="O1189" s="45"/>
      <c r="P1189" s="8"/>
      <c r="Q1189" s="8"/>
    </row>
    <row r="1190" ht="12.75">
      <c r="E1190" s="8"/>
      <c r="F1190" s="8"/>
      <c r="G1190" s="8"/>
      <c r="H1190" s="48"/>
      <c r="I1190" s="49"/>
      <c r="M1190" s="45"/>
      <c r="N1190" s="45"/>
      <c r="O1190" s="45"/>
      <c r="P1190" s="8"/>
      <c r="Q1190" s="8"/>
    </row>
    <row r="1191" ht="12.75">
      <c r="E1191" s="8"/>
      <c r="F1191" s="8"/>
      <c r="G1191" s="8"/>
      <c r="H1191" s="48"/>
      <c r="I1191" s="49"/>
      <c r="M1191" s="45"/>
      <c r="N1191" s="45"/>
      <c r="O1191" s="45"/>
      <c r="P1191" s="8"/>
      <c r="Q1191" s="8"/>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18" zoomScale="100" workbookViewId="0">
      <selection activeCell="A1" activeCellId="0" sqref="A1"/>
    </sheetView>
  </sheetViews>
  <sheetFormatPr baseColWidth="10" defaultColWidth="12.5703125" defaultRowHeight="15.75" customHeight="1"/>
  <cols>
    <col customWidth="1" min="1" max="1" width="22.28515625"/>
    <col customWidth="1" min="2" max="2" width="20.85546875"/>
    <col customWidth="1" min="3" max="3" width="31.140625"/>
    <col customWidth="1" min="4" max="4" style="8" width="41.85546875"/>
    <col customWidth="1" min="5" max="5" width="33.85546875"/>
    <col customWidth="1" min="6" max="6" style="8" width="92.42578125"/>
  </cols>
  <sheetData>
    <row r="1" ht="12.75">
      <c r="A1" s="90" t="str">
        <f>Classes!A1</f>
        <v xml:space="preserve">URI de l'ontologie</v>
      </c>
      <c r="B1" s="5" t="str">
        <f>Classes!B1</f>
        <v>http://data.esante.gouv.fr/ansm/medicament</v>
      </c>
      <c r="E1" s="8"/>
    </row>
    <row r="2" ht="12.75">
      <c r="A2" s="8"/>
      <c r="E2" s="8"/>
    </row>
    <row r="3" ht="12.75">
      <c r="A3" s="8"/>
      <c r="E3" s="8"/>
    </row>
    <row r="4" ht="12.75">
      <c r="A4" s="8"/>
      <c r="E4" s="8"/>
    </row>
    <row r="5" ht="12.75">
      <c r="A5" s="8"/>
      <c r="E5" s="8"/>
    </row>
    <row r="6" ht="12.75">
      <c r="A6" s="8"/>
      <c r="E6" s="8"/>
    </row>
    <row r="7" ht="12.75">
      <c r="A7" s="13" t="s">
        <v>34</v>
      </c>
      <c r="B7" s="12" t="s">
        <v>15</v>
      </c>
      <c r="C7" s="12" t="s">
        <v>727</v>
      </c>
      <c r="D7" s="13" t="s">
        <v>728</v>
      </c>
      <c r="E7" s="13" t="s">
        <v>729</v>
      </c>
      <c r="F7" s="13" t="s">
        <v>730</v>
      </c>
    </row>
    <row r="8" ht="102">
      <c r="A8" s="2" t="str">
        <f t="shared" ref="A8:A16" si="21">CONCATENATE("med:BusinessRule_",ROW(A8)-7)</f>
        <v>med:BusinessRule_1</v>
      </c>
      <c r="B8" s="2" t="s">
        <v>731</v>
      </c>
      <c r="C8" s="2" t="s">
        <v>174</v>
      </c>
      <c r="D8" s="8" t="s">
        <v>732</v>
      </c>
      <c r="E8" s="8" t="s">
        <v>733</v>
      </c>
      <c r="F8" s="8" t="s">
        <v>734</v>
      </c>
    </row>
    <row r="9" ht="102">
      <c r="A9" s="2" t="str">
        <f t="shared" si="21"/>
        <v>med:BusinessRule_2</v>
      </c>
      <c r="B9" s="2" t="s">
        <v>731</v>
      </c>
      <c r="C9" s="2" t="s">
        <v>182</v>
      </c>
      <c r="D9" s="8" t="s">
        <v>735</v>
      </c>
      <c r="E9" s="8" t="s">
        <v>733</v>
      </c>
      <c r="F9" s="8" t="s">
        <v>734</v>
      </c>
    </row>
    <row r="10" ht="140.25">
      <c r="A10" s="2" t="str">
        <f t="shared" si="21"/>
        <v>med:BusinessRule_3</v>
      </c>
      <c r="B10" s="2" t="s">
        <v>731</v>
      </c>
      <c r="C10" s="2" t="s">
        <v>61</v>
      </c>
      <c r="D10" s="8" t="s">
        <v>736</v>
      </c>
      <c r="E10" s="8" t="s">
        <v>737</v>
      </c>
      <c r="F10" s="8" t="s">
        <v>738</v>
      </c>
    </row>
    <row r="11" ht="140.25">
      <c r="A11" s="2" t="str">
        <f t="shared" si="21"/>
        <v>med:BusinessRule_4</v>
      </c>
      <c r="B11" s="2" t="s">
        <v>731</v>
      </c>
      <c r="C11" s="2" t="s">
        <v>61</v>
      </c>
      <c r="D11" s="8" t="s">
        <v>739</v>
      </c>
      <c r="E11" s="8" t="s">
        <v>740</v>
      </c>
      <c r="F11" s="8" t="s">
        <v>741</v>
      </c>
    </row>
    <row r="12" ht="127.5">
      <c r="A12" s="2" t="str">
        <f t="shared" si="21"/>
        <v>med:BusinessRule_5</v>
      </c>
      <c r="B12" s="2" t="s">
        <v>731</v>
      </c>
      <c r="C12" s="2" t="s">
        <v>85</v>
      </c>
      <c r="D12" s="8" t="s">
        <v>742</v>
      </c>
      <c r="E12" s="8" t="s">
        <v>743</v>
      </c>
      <c r="F12" s="91" t="s">
        <v>744</v>
      </c>
    </row>
    <row r="13" ht="127.5">
      <c r="A13" s="2" t="str">
        <f t="shared" si="21"/>
        <v>med:BusinessRule_6</v>
      </c>
      <c r="B13" s="2" t="s">
        <v>731</v>
      </c>
      <c r="C13" s="2" t="s">
        <v>85</v>
      </c>
      <c r="D13" s="8" t="s">
        <v>745</v>
      </c>
      <c r="E13" s="8" t="s">
        <v>746</v>
      </c>
      <c r="F13" s="91" t="s">
        <v>747</v>
      </c>
    </row>
    <row r="14" ht="127.5">
      <c r="A14" s="2" t="str">
        <f t="shared" si="21"/>
        <v>med:BusinessRule_7</v>
      </c>
      <c r="B14" s="2" t="s">
        <v>731</v>
      </c>
      <c r="C14" s="2" t="s">
        <v>85</v>
      </c>
      <c r="D14" s="8" t="s">
        <v>748</v>
      </c>
      <c r="E14" s="8" t="s">
        <v>749</v>
      </c>
      <c r="F14" s="91" t="s">
        <v>750</v>
      </c>
    </row>
    <row r="15" ht="127.5">
      <c r="A15" s="2" t="str">
        <f t="shared" si="21"/>
        <v>med:BusinessRule_8</v>
      </c>
      <c r="B15" s="2" t="s">
        <v>731</v>
      </c>
      <c r="C15" s="2" t="s">
        <v>85</v>
      </c>
      <c r="D15" s="8" t="s">
        <v>751</v>
      </c>
      <c r="E15" s="8" t="s">
        <v>752</v>
      </c>
      <c r="F15" s="91" t="s">
        <v>753</v>
      </c>
    </row>
    <row r="16" ht="102">
      <c r="A16" s="2" t="str">
        <f t="shared" si="21"/>
        <v>med:BusinessRule_9</v>
      </c>
      <c r="B16" s="2" t="s">
        <v>731</v>
      </c>
      <c r="C16" s="2" t="s">
        <v>754</v>
      </c>
      <c r="D16" s="8" t="s">
        <v>755</v>
      </c>
      <c r="E16" s="8" t="s">
        <v>756</v>
      </c>
      <c r="F16" s="8" t="s">
        <v>757</v>
      </c>
    </row>
    <row r="17" ht="127.5">
      <c r="A17" s="2" t="str">
        <f t="shared" ref="A17:A23" si="22">CONCATENATE("med:BusinessRule_",ROW(A17)-7)</f>
        <v>med:BusinessRule_10</v>
      </c>
      <c r="B17" s="2" t="s">
        <v>731</v>
      </c>
      <c r="C17" s="2" t="s">
        <v>61</v>
      </c>
      <c r="D17" s="8" t="s">
        <v>758</v>
      </c>
      <c r="E17" s="8" t="s">
        <v>759</v>
      </c>
      <c r="F17" s="8" t="s">
        <v>760</v>
      </c>
    </row>
    <row r="18" ht="165.75">
      <c r="A18" s="2" t="str">
        <f t="shared" si="22"/>
        <v>med:BusinessRule_11</v>
      </c>
      <c r="B18" s="2" t="s">
        <v>731</v>
      </c>
      <c r="C18" s="2" t="s">
        <v>116</v>
      </c>
      <c r="D18" s="8" t="s">
        <v>761</v>
      </c>
      <c r="E18" s="8" t="s">
        <v>762</v>
      </c>
      <c r="F18" s="8" t="s">
        <v>763</v>
      </c>
    </row>
    <row r="19" ht="114.75">
      <c r="A19" s="2" t="str">
        <f t="shared" si="22"/>
        <v>med:BusinessRule_12</v>
      </c>
      <c r="B19" s="2" t="s">
        <v>731</v>
      </c>
      <c r="C19" s="2" t="s">
        <v>116</v>
      </c>
      <c r="D19" s="8" t="s">
        <v>764</v>
      </c>
      <c r="E19" s="8" t="s">
        <v>765</v>
      </c>
      <c r="F19" s="8" t="s">
        <v>766</v>
      </c>
    </row>
    <row r="20" ht="127.5">
      <c r="A20" s="2" t="str">
        <f t="shared" si="22"/>
        <v>med:BusinessRule_13</v>
      </c>
      <c r="B20" s="2" t="s">
        <v>731</v>
      </c>
      <c r="C20" s="2" t="s">
        <v>116</v>
      </c>
      <c r="D20" s="8" t="s">
        <v>767</v>
      </c>
      <c r="E20" s="8" t="s">
        <v>768</v>
      </c>
      <c r="F20" s="8" t="s">
        <v>769</v>
      </c>
    </row>
    <row r="21" ht="140.25">
      <c r="A21" s="2" t="str">
        <f t="shared" si="22"/>
        <v>med:BusinessRule_14</v>
      </c>
      <c r="B21" s="2" t="s">
        <v>731</v>
      </c>
      <c r="C21" s="2" t="s">
        <v>51</v>
      </c>
      <c r="D21" s="8" t="s">
        <v>770</v>
      </c>
      <c r="E21" s="8" t="s">
        <v>771</v>
      </c>
      <c r="F21" s="8" t="s">
        <v>772</v>
      </c>
    </row>
    <row r="22" ht="140.25">
      <c r="A22" s="2" t="str">
        <f t="shared" si="22"/>
        <v>med:BusinessRule_15</v>
      </c>
      <c r="B22" s="2" t="s">
        <v>731</v>
      </c>
      <c r="C22" s="2" t="s">
        <v>51</v>
      </c>
      <c r="D22" s="8" t="s">
        <v>773</v>
      </c>
      <c r="E22" s="8" t="s">
        <v>774</v>
      </c>
      <c r="F22" s="91" t="s">
        <v>775</v>
      </c>
    </row>
    <row r="23" ht="153">
      <c r="A23" s="2" t="str">
        <f t="shared" si="22"/>
        <v>med:BusinessRule_16</v>
      </c>
      <c r="B23" s="2" t="s">
        <v>731</v>
      </c>
      <c r="C23" t="s">
        <v>61</v>
      </c>
      <c r="D23" s="8" t="s">
        <v>776</v>
      </c>
      <c r="E23" s="8" t="s">
        <v>777</v>
      </c>
      <c r="F23" s="8" t="s">
        <v>778</v>
      </c>
    </row>
    <row r="24" ht="25.5">
      <c r="D24" s="92" t="s">
        <v>779</v>
      </c>
      <c r="E24" s="8"/>
    </row>
    <row r="25" ht="12.75">
      <c r="E25" s="8"/>
    </row>
    <row r="26" ht="12.75">
      <c r="E26" s="8"/>
    </row>
    <row r="27" ht="12.75">
      <c r="E27" s="8"/>
    </row>
    <row r="28" ht="12.75">
      <c r="E28" s="8"/>
    </row>
    <row r="29" ht="12.75">
      <c r="E29" s="8"/>
    </row>
    <row r="30" ht="12.75">
      <c r="E30" s="8"/>
    </row>
    <row r="31" ht="12.75">
      <c r="E31" s="8"/>
    </row>
    <row r="32" ht="12.75">
      <c r="E32" s="8"/>
    </row>
    <row r="33" ht="12.75">
      <c r="E33" s="8"/>
    </row>
    <row r="34" ht="12.75">
      <c r="E34" s="8"/>
    </row>
    <row r="35" ht="12.75">
      <c r="E35" s="8"/>
    </row>
    <row r="36" ht="12.75">
      <c r="E36" s="8"/>
    </row>
    <row r="37" ht="12.75">
      <c r="E37" s="8"/>
    </row>
    <row r="38" ht="12.75">
      <c r="E38" s="8"/>
    </row>
    <row r="39" ht="12.75">
      <c r="E39" s="8"/>
    </row>
    <row r="40" ht="12.75">
      <c r="E40" s="8"/>
    </row>
    <row r="41" ht="12.75">
      <c r="E41" s="8"/>
    </row>
    <row r="42" ht="12.75">
      <c r="E42" s="8"/>
    </row>
    <row r="43" ht="12.75">
      <c r="E43" s="8"/>
    </row>
    <row r="44" ht="12.75">
      <c r="E44" s="8"/>
    </row>
    <row r="45" ht="12.75">
      <c r="E45" s="8"/>
    </row>
    <row r="46" ht="12.75">
      <c r="E46" s="8"/>
    </row>
    <row r="47" ht="12.75">
      <c r="E47" s="8"/>
    </row>
    <row r="48" ht="12.75">
      <c r="E48" s="8"/>
    </row>
    <row r="49" ht="12.75">
      <c r="E49" s="8"/>
    </row>
    <row r="50" ht="12.75">
      <c r="E50" s="8"/>
    </row>
    <row r="51" ht="12.75">
      <c r="E51" s="8"/>
    </row>
    <row r="52" ht="12.75">
      <c r="E52" s="8"/>
    </row>
    <row r="53" ht="12.75">
      <c r="E53" s="8"/>
    </row>
    <row r="54" ht="12.75">
      <c r="E54" s="8"/>
    </row>
    <row r="55" ht="12.75">
      <c r="E55" s="8"/>
    </row>
    <row r="56" ht="12.75">
      <c r="E56" s="8"/>
    </row>
    <row r="57" ht="12.75">
      <c r="E57" s="8"/>
    </row>
    <row r="58" ht="12.75">
      <c r="E58" s="8"/>
    </row>
    <row r="59" ht="12.75">
      <c r="E59" s="8"/>
    </row>
    <row r="60" ht="12.75">
      <c r="E60" s="8"/>
    </row>
    <row r="61" ht="12.75">
      <c r="E61" s="8"/>
    </row>
    <row r="62" ht="12.75">
      <c r="E62" s="8"/>
    </row>
    <row r="63" ht="12.75">
      <c r="E63" s="8"/>
    </row>
    <row r="64" ht="12.75">
      <c r="E64" s="8"/>
    </row>
    <row r="65" ht="12.75">
      <c r="E65" s="8"/>
    </row>
    <row r="66" ht="12.75">
      <c r="E66" s="8"/>
    </row>
    <row r="67" ht="12.75">
      <c r="E67" s="8"/>
    </row>
    <row r="68" ht="12.75">
      <c r="E68" s="8"/>
    </row>
    <row r="69" ht="12.75">
      <c r="E69" s="8"/>
    </row>
    <row r="70" ht="12.75">
      <c r="E70" s="8"/>
    </row>
    <row r="71" ht="12.75">
      <c r="E71" s="8"/>
    </row>
    <row r="72" ht="12.75">
      <c r="E72" s="8"/>
    </row>
    <row r="73" ht="12.75">
      <c r="E73" s="8"/>
    </row>
    <row r="74" ht="12.75">
      <c r="E74" s="8"/>
    </row>
    <row r="75" ht="12.75">
      <c r="E75" s="8"/>
    </row>
    <row r="76" ht="12.75">
      <c r="E76" s="8"/>
    </row>
    <row r="77" ht="12.75">
      <c r="E77" s="8"/>
    </row>
    <row r="78" ht="12.75">
      <c r="E78" s="8"/>
    </row>
    <row r="79" ht="12.75">
      <c r="E79" s="8"/>
    </row>
    <row r="80" ht="12.75">
      <c r="E80" s="8"/>
    </row>
    <row r="81" ht="12.75">
      <c r="E81" s="8"/>
    </row>
    <row r="82" ht="12.75">
      <c r="E82" s="8"/>
    </row>
    <row r="83" ht="12.75">
      <c r="E83" s="8"/>
    </row>
    <row r="84" ht="12.75">
      <c r="E84" s="8"/>
    </row>
    <row r="85" ht="12.75">
      <c r="E85" s="8"/>
    </row>
    <row r="86" ht="12.75">
      <c r="E86" s="8"/>
    </row>
    <row r="87" ht="12.75">
      <c r="E87" s="8"/>
    </row>
    <row r="88" ht="12.75">
      <c r="E88" s="8"/>
    </row>
    <row r="89" ht="12.75">
      <c r="E89" s="8"/>
    </row>
    <row r="90" ht="12.75">
      <c r="E90" s="8"/>
    </row>
    <row r="91" ht="12.75">
      <c r="E91" s="8"/>
    </row>
    <row r="92" ht="12.75">
      <c r="E92" s="8"/>
    </row>
    <row r="93" ht="12.75">
      <c r="E93" s="8"/>
    </row>
    <row r="94" ht="12.75">
      <c r="E94" s="8"/>
    </row>
    <row r="95" ht="12.75">
      <c r="E95" s="8"/>
    </row>
    <row r="96" ht="12.75">
      <c r="E96" s="8"/>
    </row>
    <row r="97" ht="12.75">
      <c r="E97" s="8"/>
    </row>
    <row r="98" ht="12.75">
      <c r="E98" s="8"/>
    </row>
    <row r="99" ht="12.75">
      <c r="E99" s="8"/>
    </row>
    <row r="100" ht="12.75">
      <c r="E100" s="8"/>
    </row>
    <row r="101" ht="12.75">
      <c r="E101" s="8"/>
    </row>
    <row r="102" ht="12.75">
      <c r="E102" s="8"/>
    </row>
    <row r="103" ht="12.75">
      <c r="E103" s="8"/>
    </row>
    <row r="104" ht="12.75">
      <c r="E104" s="8"/>
    </row>
    <row r="105" ht="12.75">
      <c r="E105" s="8"/>
    </row>
    <row r="106" ht="12.75">
      <c r="E106" s="8"/>
    </row>
    <row r="107" ht="12.75">
      <c r="E107" s="8"/>
    </row>
    <row r="108" ht="12.75">
      <c r="E108" s="8"/>
    </row>
    <row r="109" ht="12.75">
      <c r="E109" s="8"/>
    </row>
    <row r="110" ht="12.75">
      <c r="E110" s="8"/>
    </row>
    <row r="111" ht="12.75">
      <c r="E111" s="8"/>
    </row>
    <row r="112" ht="12.75">
      <c r="E112" s="8"/>
    </row>
    <row r="113" ht="12.75">
      <c r="E113" s="8"/>
    </row>
    <row r="114" ht="12.75">
      <c r="E114" s="8"/>
    </row>
    <row r="115" ht="12.75">
      <c r="E115" s="8"/>
    </row>
    <row r="116" ht="12.75">
      <c r="E116" s="8"/>
    </row>
    <row r="117" ht="12.75">
      <c r="E117" s="8"/>
    </row>
    <row r="118" ht="12.75">
      <c r="E118" s="8"/>
    </row>
    <row r="119" ht="12.75">
      <c r="E119" s="8"/>
    </row>
    <row r="120" ht="12.75">
      <c r="E120" s="8"/>
    </row>
    <row r="121" ht="12.75">
      <c r="E121" s="8"/>
    </row>
    <row r="122" ht="12.75">
      <c r="E122" s="8"/>
    </row>
    <row r="123" ht="12.75">
      <c r="E123" s="8"/>
    </row>
    <row r="124" ht="12.75">
      <c r="E124" s="8"/>
    </row>
    <row r="125" ht="12.75">
      <c r="E125" s="8"/>
    </row>
    <row r="126" ht="12.75">
      <c r="E126" s="8"/>
    </row>
    <row r="127" ht="12.75">
      <c r="E127" s="8"/>
    </row>
    <row r="128" ht="12.75">
      <c r="E128" s="8"/>
    </row>
    <row r="129" ht="12.75">
      <c r="E129" s="8"/>
    </row>
    <row r="130" ht="12.75">
      <c r="E130" s="8"/>
    </row>
    <row r="131" ht="12.75">
      <c r="E131" s="8"/>
    </row>
    <row r="132" ht="12.75">
      <c r="E132" s="8"/>
    </row>
    <row r="133" ht="12.75">
      <c r="E133" s="8"/>
    </row>
    <row r="134" ht="12.75">
      <c r="E134" s="8"/>
    </row>
    <row r="135" ht="12.75">
      <c r="E135" s="8"/>
    </row>
    <row r="136" ht="12.75">
      <c r="E136" s="8"/>
    </row>
    <row r="137" ht="12.75">
      <c r="E137" s="8"/>
    </row>
    <row r="138" ht="12.75">
      <c r="E138" s="8"/>
    </row>
    <row r="139" ht="12.75">
      <c r="E139" s="8"/>
    </row>
    <row r="140" ht="12.75">
      <c r="E140" s="8"/>
    </row>
    <row r="141" ht="12.75">
      <c r="E141" s="8"/>
    </row>
    <row r="142" ht="12.75">
      <c r="E142" s="8"/>
    </row>
    <row r="143" ht="12.75">
      <c r="E143" s="8"/>
    </row>
    <row r="144" ht="12.75">
      <c r="E144" s="8"/>
    </row>
    <row r="145" ht="12.75">
      <c r="E145" s="8"/>
    </row>
    <row r="146" ht="12.75">
      <c r="E146" s="8"/>
    </row>
    <row r="147" ht="12.75">
      <c r="E147" s="8"/>
    </row>
    <row r="148" ht="12.75">
      <c r="E148" s="8"/>
    </row>
    <row r="149" ht="12.75">
      <c r="E149" s="8"/>
    </row>
    <row r="150" ht="12.75">
      <c r="E150" s="8"/>
    </row>
    <row r="151" ht="12.75">
      <c r="E151" s="8"/>
    </row>
    <row r="152" ht="12.75">
      <c r="E152" s="8"/>
    </row>
    <row r="153" ht="12.75">
      <c r="E153" s="8"/>
    </row>
    <row r="154" ht="12.75">
      <c r="E154" s="8"/>
    </row>
    <row r="155" ht="12.75">
      <c r="E155" s="8"/>
    </row>
    <row r="156" ht="12.75">
      <c r="E156" s="8"/>
    </row>
    <row r="157" ht="12.75">
      <c r="E157" s="8"/>
    </row>
    <row r="158" ht="12.75">
      <c r="E158" s="8"/>
    </row>
    <row r="159" ht="12.75">
      <c r="E159" s="8"/>
    </row>
    <row r="160" ht="12.75">
      <c r="E160" s="8"/>
    </row>
    <row r="161" ht="12.75">
      <c r="E161" s="8"/>
    </row>
    <row r="162" ht="12.75">
      <c r="E162" s="8"/>
    </row>
    <row r="163" ht="12.75">
      <c r="E163" s="8"/>
    </row>
    <row r="164" ht="12.75">
      <c r="E164" s="8"/>
    </row>
    <row r="165" ht="12.75">
      <c r="E165" s="8"/>
    </row>
    <row r="166" ht="12.75">
      <c r="E166" s="8"/>
    </row>
    <row r="167" ht="12.75">
      <c r="E167" s="8"/>
    </row>
    <row r="168" ht="12.75">
      <c r="E168" s="8"/>
    </row>
    <row r="169" ht="12.75">
      <c r="E169" s="8"/>
    </row>
    <row r="170" ht="12.75">
      <c r="E170" s="8"/>
    </row>
    <row r="171" ht="12.75">
      <c r="E171" s="8"/>
    </row>
    <row r="172" ht="12.75">
      <c r="E172" s="8"/>
    </row>
    <row r="173" ht="12.75">
      <c r="E173" s="8"/>
    </row>
    <row r="174" ht="12.75">
      <c r="E174" s="8"/>
    </row>
    <row r="175" ht="12.75">
      <c r="E175" s="8"/>
    </row>
    <row r="176" ht="12.75">
      <c r="E176" s="8"/>
    </row>
    <row r="177" ht="12.75">
      <c r="E177" s="8"/>
    </row>
    <row r="178" ht="12.75">
      <c r="E178" s="8"/>
    </row>
    <row r="179" ht="12.75">
      <c r="E179" s="8"/>
    </row>
    <row r="180" ht="12.75">
      <c r="E180" s="8"/>
    </row>
    <row r="181" ht="12.75">
      <c r="E181" s="8"/>
    </row>
    <row r="182" ht="12.75">
      <c r="E182" s="8"/>
    </row>
    <row r="183" ht="12.75">
      <c r="E183" s="8"/>
    </row>
    <row r="184" ht="12.75">
      <c r="E184" s="8"/>
    </row>
    <row r="185" ht="12.75">
      <c r="E185" s="8"/>
    </row>
    <row r="186" ht="12.75">
      <c r="E186" s="8"/>
    </row>
    <row r="187" ht="12.75">
      <c r="E187" s="8"/>
    </row>
    <row r="188" ht="12.75">
      <c r="E188" s="8"/>
    </row>
    <row r="189" ht="12.75">
      <c r="E189" s="8"/>
    </row>
    <row r="190" ht="12.75">
      <c r="E190" s="8"/>
    </row>
    <row r="191" ht="12.75">
      <c r="E191" s="8"/>
    </row>
    <row r="192" ht="12.75">
      <c r="E192" s="8"/>
    </row>
    <row r="193" ht="12.75">
      <c r="E193" s="8"/>
    </row>
    <row r="194" ht="12.75">
      <c r="E194" s="8"/>
    </row>
    <row r="195" ht="12.75">
      <c r="E195" s="8"/>
    </row>
    <row r="196" ht="12.75">
      <c r="E196" s="8"/>
    </row>
    <row r="197" ht="12.75">
      <c r="E197" s="8"/>
    </row>
    <row r="198" ht="12.75">
      <c r="E198" s="8"/>
    </row>
    <row r="199" ht="12.75">
      <c r="E199" s="8"/>
    </row>
    <row r="200" ht="12.75">
      <c r="E200" s="8"/>
    </row>
    <row r="201" ht="12.75">
      <c r="E201" s="8"/>
    </row>
    <row r="202" ht="12.75">
      <c r="E202" s="8"/>
    </row>
    <row r="203" ht="12.75">
      <c r="E203" s="8"/>
    </row>
    <row r="204" ht="12.75">
      <c r="E204" s="8"/>
    </row>
    <row r="205" ht="12.75">
      <c r="E205" s="8"/>
    </row>
    <row r="206" ht="12.75">
      <c r="E206" s="8"/>
    </row>
    <row r="207" ht="12.75">
      <c r="E207" s="8"/>
    </row>
    <row r="208" ht="12.75">
      <c r="E208" s="8"/>
    </row>
    <row r="209" ht="12.75">
      <c r="E209" s="8"/>
    </row>
    <row r="210" ht="12.75">
      <c r="E210" s="8"/>
    </row>
    <row r="211" ht="12.75">
      <c r="E211" s="8"/>
    </row>
    <row r="212" ht="12.75">
      <c r="E212" s="8"/>
    </row>
    <row r="213" ht="12.75">
      <c r="E213" s="8"/>
    </row>
    <row r="214" ht="12.75">
      <c r="E214" s="8"/>
    </row>
    <row r="215" ht="12.75">
      <c r="E215" s="8"/>
    </row>
    <row r="216" ht="12.75">
      <c r="E216" s="8"/>
    </row>
    <row r="217" ht="12.75">
      <c r="E217" s="8"/>
    </row>
    <row r="218" ht="12.75">
      <c r="E218" s="8"/>
    </row>
    <row r="219" ht="12.75">
      <c r="E219" s="8"/>
    </row>
    <row r="220" ht="12.75">
      <c r="E220" s="8"/>
    </row>
    <row r="221" ht="12.75">
      <c r="E221" s="8"/>
    </row>
    <row r="222" ht="12.75">
      <c r="E222" s="8"/>
    </row>
    <row r="223" ht="12.75">
      <c r="E223" s="8"/>
    </row>
    <row r="224" ht="12.75">
      <c r="E224" s="8"/>
    </row>
    <row r="225" ht="12.75">
      <c r="E225" s="8"/>
    </row>
    <row r="226" ht="12.75">
      <c r="E226" s="8"/>
    </row>
    <row r="227" ht="12.75">
      <c r="E227" s="8"/>
    </row>
    <row r="228" ht="12.75">
      <c r="E228" s="8"/>
    </row>
    <row r="229" ht="12.75">
      <c r="E229" s="8"/>
    </row>
    <row r="230" ht="12.75">
      <c r="E230" s="8"/>
    </row>
    <row r="231" ht="12.75">
      <c r="E231" s="8"/>
    </row>
    <row r="232" ht="12.75">
      <c r="E232" s="8"/>
    </row>
    <row r="233" ht="12.75">
      <c r="E233" s="8"/>
    </row>
    <row r="234" ht="12.75">
      <c r="E234" s="8"/>
    </row>
    <row r="235" ht="12.75">
      <c r="E235" s="8"/>
    </row>
    <row r="236" ht="12.75">
      <c r="E236" s="8"/>
    </row>
    <row r="237" ht="12.75">
      <c r="E237" s="8"/>
    </row>
    <row r="238" ht="12.75">
      <c r="E238" s="8"/>
    </row>
    <row r="239" ht="12.75">
      <c r="E239" s="8"/>
    </row>
    <row r="240" ht="12.75">
      <c r="E240" s="8"/>
    </row>
    <row r="241" ht="12.75">
      <c r="E241" s="8"/>
    </row>
    <row r="242" ht="12.75">
      <c r="E242" s="8"/>
    </row>
    <row r="243" ht="12.75">
      <c r="E243" s="8"/>
    </row>
    <row r="244" ht="12.75">
      <c r="E244" s="8"/>
    </row>
    <row r="245" ht="12.75">
      <c r="E245" s="8"/>
    </row>
    <row r="246" ht="12.75">
      <c r="E246" s="8"/>
    </row>
    <row r="247" ht="12.75">
      <c r="E247" s="8"/>
    </row>
    <row r="248" ht="12.75">
      <c r="E248" s="8"/>
    </row>
    <row r="249" ht="12.75">
      <c r="E249" s="8"/>
    </row>
    <row r="250" ht="12.75">
      <c r="E250" s="8"/>
    </row>
    <row r="251" ht="12.75">
      <c r="E251" s="8"/>
    </row>
    <row r="252" ht="12.75">
      <c r="E252" s="8"/>
    </row>
    <row r="253" ht="12.75">
      <c r="E253" s="8"/>
    </row>
    <row r="254" ht="12.75">
      <c r="E254" s="8"/>
    </row>
    <row r="255" ht="12.75">
      <c r="E255" s="8"/>
    </row>
    <row r="256" ht="12.75">
      <c r="E256" s="8"/>
    </row>
    <row r="257" ht="12.75">
      <c r="E257" s="8"/>
    </row>
    <row r="258" ht="12.75">
      <c r="E258" s="8"/>
    </row>
    <row r="259" ht="12.75">
      <c r="E259" s="8"/>
    </row>
    <row r="260" ht="12.75">
      <c r="E260" s="8"/>
    </row>
    <row r="261" ht="12.75">
      <c r="E261" s="8"/>
    </row>
    <row r="262" ht="12.75">
      <c r="E262" s="8"/>
    </row>
    <row r="263" ht="12.75">
      <c r="E263" s="8"/>
    </row>
    <row r="264" ht="12.75">
      <c r="E264" s="8"/>
    </row>
    <row r="265" ht="12.75">
      <c r="E265" s="8"/>
    </row>
    <row r="266" ht="12.75">
      <c r="E266" s="8"/>
    </row>
    <row r="267" ht="12.75">
      <c r="E267" s="8"/>
    </row>
    <row r="268" ht="12.75">
      <c r="E268" s="8"/>
    </row>
    <row r="269" ht="12.75">
      <c r="E269" s="8"/>
    </row>
    <row r="270" ht="12.75">
      <c r="E270" s="8"/>
    </row>
    <row r="271" ht="12.75">
      <c r="E271" s="8"/>
    </row>
    <row r="272" ht="12.75">
      <c r="E272" s="8"/>
    </row>
    <row r="273" ht="12.75">
      <c r="E273" s="8"/>
    </row>
    <row r="274" ht="12.75">
      <c r="E274" s="8"/>
    </row>
    <row r="275" ht="12.75">
      <c r="E275" s="8"/>
    </row>
    <row r="276" ht="12.75">
      <c r="E276" s="8"/>
    </row>
    <row r="277" ht="12.75">
      <c r="E277" s="8"/>
    </row>
    <row r="278" ht="12.75">
      <c r="E278" s="8"/>
    </row>
    <row r="279" ht="12.75">
      <c r="E279" s="8"/>
    </row>
    <row r="280" ht="12.75">
      <c r="E280" s="8"/>
    </row>
    <row r="281" ht="12.75">
      <c r="E281" s="8"/>
    </row>
    <row r="282" ht="12.75">
      <c r="E282" s="8"/>
    </row>
    <row r="283" ht="12.75">
      <c r="E283" s="8"/>
    </row>
    <row r="284" ht="12.75">
      <c r="E284" s="8"/>
    </row>
    <row r="285" ht="12.75">
      <c r="E285" s="8"/>
    </row>
    <row r="286" ht="12.75">
      <c r="E286" s="8"/>
    </row>
    <row r="287" ht="12.75">
      <c r="E287" s="8"/>
    </row>
    <row r="288" ht="12.75">
      <c r="E288" s="8"/>
    </row>
    <row r="289" ht="12.75">
      <c r="E289" s="8"/>
    </row>
    <row r="290" ht="12.75">
      <c r="E290" s="8"/>
    </row>
    <row r="291" ht="12.75">
      <c r="E291" s="8"/>
    </row>
    <row r="292" ht="12.75">
      <c r="E292" s="8"/>
    </row>
    <row r="293" ht="12.75">
      <c r="E293" s="8"/>
    </row>
    <row r="294" ht="12.75">
      <c r="E294" s="8"/>
    </row>
    <row r="295" ht="12.75">
      <c r="E295" s="8"/>
    </row>
    <row r="296" ht="12.75">
      <c r="E296" s="8"/>
    </row>
    <row r="297" ht="12.75">
      <c r="E297" s="8"/>
    </row>
    <row r="298" ht="12.75">
      <c r="E298" s="8"/>
    </row>
    <row r="299" ht="12.75">
      <c r="E299" s="8"/>
    </row>
    <row r="300" ht="12.75">
      <c r="E300" s="8"/>
    </row>
    <row r="301" ht="12.75">
      <c r="E301" s="8"/>
    </row>
    <row r="302" ht="12.75">
      <c r="E302" s="8"/>
    </row>
    <row r="303" ht="12.75">
      <c r="E303" s="8"/>
    </row>
    <row r="304" ht="12.75">
      <c r="E304" s="8"/>
    </row>
    <row r="305" ht="12.75">
      <c r="E305" s="8"/>
    </row>
    <row r="306" ht="12.75">
      <c r="E306" s="8"/>
    </row>
    <row r="307" ht="12.75">
      <c r="E307" s="8"/>
    </row>
    <row r="308" ht="12.75">
      <c r="E308" s="8"/>
    </row>
    <row r="309" ht="12.75">
      <c r="E309" s="8"/>
    </row>
    <row r="310" ht="12.75">
      <c r="E310" s="8"/>
    </row>
    <row r="311" ht="12.75">
      <c r="E311" s="8"/>
    </row>
    <row r="312" ht="12.75">
      <c r="E312" s="8"/>
    </row>
    <row r="313" ht="12.75">
      <c r="E313" s="8"/>
    </row>
    <row r="314" ht="12.75">
      <c r="E314" s="8"/>
    </row>
    <row r="315" ht="12.75">
      <c r="E315" s="8"/>
    </row>
    <row r="316" ht="12.75">
      <c r="E316" s="8"/>
    </row>
    <row r="317" ht="12.75">
      <c r="E317" s="8"/>
    </row>
    <row r="318" ht="12.75">
      <c r="E318" s="8"/>
    </row>
    <row r="319" ht="12.75">
      <c r="E319" s="8"/>
    </row>
    <row r="320" ht="12.75">
      <c r="E320" s="8"/>
    </row>
    <row r="321" ht="12.75">
      <c r="E321" s="8"/>
    </row>
    <row r="322" ht="12.75">
      <c r="E322" s="8"/>
    </row>
    <row r="323" ht="12.75">
      <c r="E323" s="8"/>
    </row>
    <row r="324" ht="12.75">
      <c r="E324" s="8"/>
    </row>
    <row r="325" ht="12.75">
      <c r="E325" s="8"/>
    </row>
    <row r="326" ht="12.75">
      <c r="E326" s="8"/>
    </row>
    <row r="327" ht="12.75">
      <c r="E327" s="8"/>
    </row>
    <row r="328" ht="12.75">
      <c r="E328" s="8"/>
    </row>
    <row r="329" ht="12.75">
      <c r="E329" s="8"/>
    </row>
    <row r="330" ht="12.75">
      <c r="E330" s="8"/>
    </row>
    <row r="331" ht="12.75">
      <c r="E331" s="8"/>
    </row>
    <row r="332" ht="12.75">
      <c r="E332" s="8"/>
    </row>
    <row r="333" ht="12.75">
      <c r="E333" s="8"/>
    </row>
    <row r="334" ht="12.75">
      <c r="E334" s="8"/>
    </row>
    <row r="335" ht="12.75">
      <c r="E335" s="8"/>
    </row>
    <row r="336" ht="12.75">
      <c r="E336" s="8"/>
    </row>
    <row r="337" ht="12.75">
      <c r="E337" s="8"/>
    </row>
    <row r="338" ht="12.75">
      <c r="E338" s="8"/>
    </row>
    <row r="339" ht="12.75">
      <c r="E339" s="8"/>
    </row>
    <row r="340" ht="12.75">
      <c r="E340" s="8"/>
    </row>
    <row r="341" ht="12.75">
      <c r="E341" s="8"/>
    </row>
    <row r="342" ht="12.75">
      <c r="E342" s="8"/>
    </row>
    <row r="343" ht="12.75">
      <c r="E343" s="8"/>
    </row>
    <row r="344" ht="12.75">
      <c r="E344" s="8"/>
    </row>
    <row r="345" ht="12.75">
      <c r="E345" s="8"/>
    </row>
    <row r="346" ht="12.75">
      <c r="E346" s="8"/>
    </row>
    <row r="347" ht="12.75">
      <c r="E347" s="8"/>
    </row>
    <row r="348" ht="12.75">
      <c r="E348" s="8"/>
    </row>
    <row r="349" ht="12.75">
      <c r="E349" s="8"/>
    </row>
    <row r="350" ht="12.75">
      <c r="E350" s="8"/>
    </row>
    <row r="351" ht="12.75">
      <c r="E351" s="8"/>
    </row>
    <row r="352" ht="12.75">
      <c r="E352" s="8"/>
    </row>
    <row r="353" ht="12.75">
      <c r="E353" s="8"/>
    </row>
    <row r="354" ht="12.75">
      <c r="E354" s="8"/>
    </row>
    <row r="355" ht="12.75">
      <c r="E355" s="8"/>
    </row>
    <row r="356" ht="12.75">
      <c r="E356" s="8"/>
    </row>
    <row r="357" ht="12.75">
      <c r="E357" s="8"/>
    </row>
    <row r="358" ht="12.75">
      <c r="E358" s="8"/>
    </row>
    <row r="359" ht="12.75">
      <c r="E359" s="8"/>
    </row>
    <row r="360" ht="12.75">
      <c r="E360" s="8"/>
    </row>
    <row r="361" ht="12.75">
      <c r="E361" s="8"/>
    </row>
    <row r="362" ht="12.75">
      <c r="E362" s="8"/>
    </row>
    <row r="363" ht="12.75">
      <c r="E363" s="8"/>
    </row>
    <row r="364" ht="12.75">
      <c r="E364" s="8"/>
    </row>
    <row r="365" ht="12.75">
      <c r="E365" s="8"/>
    </row>
    <row r="366" ht="12.75">
      <c r="E366" s="8"/>
    </row>
    <row r="367" ht="12.75">
      <c r="E367" s="8"/>
    </row>
    <row r="368" ht="12.75">
      <c r="E368" s="8"/>
    </row>
    <row r="369" ht="12.75">
      <c r="E369" s="8"/>
    </row>
    <row r="370" ht="12.75">
      <c r="E370" s="8"/>
    </row>
    <row r="371" ht="12.75">
      <c r="E371" s="8"/>
    </row>
    <row r="372" ht="12.75">
      <c r="E372" s="8"/>
    </row>
    <row r="373" ht="12.75">
      <c r="E373" s="8"/>
    </row>
    <row r="374" ht="12.75">
      <c r="E374" s="8"/>
    </row>
    <row r="375" ht="12.75">
      <c r="E375" s="8"/>
    </row>
    <row r="376" ht="12.75">
      <c r="E376" s="8"/>
    </row>
    <row r="377" ht="12.75">
      <c r="E377" s="8"/>
    </row>
    <row r="378" ht="12.75">
      <c r="E378" s="8"/>
    </row>
    <row r="379" ht="12.75">
      <c r="E379" s="8"/>
    </row>
    <row r="380" ht="12.75">
      <c r="E380" s="8"/>
    </row>
    <row r="381" ht="12.75">
      <c r="E381" s="8"/>
    </row>
    <row r="382" ht="12.75">
      <c r="E382" s="8"/>
    </row>
    <row r="383" ht="12.75">
      <c r="E383" s="8"/>
    </row>
    <row r="384" ht="12.75">
      <c r="E384" s="8"/>
    </row>
    <row r="385" ht="12.75">
      <c r="E385" s="8"/>
    </row>
    <row r="386" ht="12.75">
      <c r="E386" s="8"/>
    </row>
    <row r="387" ht="12.75">
      <c r="E387" s="8"/>
    </row>
    <row r="388" ht="12.75">
      <c r="E388" s="8"/>
    </row>
    <row r="389" ht="12.75">
      <c r="E389" s="8"/>
    </row>
    <row r="390" ht="12.75">
      <c r="E390" s="8"/>
    </row>
    <row r="391" ht="12.75">
      <c r="E391" s="8"/>
    </row>
    <row r="392" ht="12.75">
      <c r="E392" s="8"/>
    </row>
    <row r="393" ht="12.75">
      <c r="E393" s="8"/>
    </row>
    <row r="394" ht="12.75">
      <c r="E394" s="8"/>
    </row>
    <row r="395" ht="12.75">
      <c r="E395" s="8"/>
    </row>
    <row r="396" ht="12.75">
      <c r="E396" s="8"/>
    </row>
    <row r="397" ht="12.75">
      <c r="E397" s="8"/>
    </row>
    <row r="398" ht="12.75">
      <c r="E398" s="8"/>
    </row>
    <row r="399" ht="12.75">
      <c r="E399" s="8"/>
    </row>
    <row r="400" ht="12.75">
      <c r="E400" s="8"/>
    </row>
    <row r="401" ht="12.75">
      <c r="E401" s="8"/>
    </row>
    <row r="402" ht="12.75">
      <c r="E402" s="8"/>
    </row>
    <row r="403" ht="12.75">
      <c r="E403" s="8"/>
    </row>
    <row r="404" ht="12.75">
      <c r="E404" s="8"/>
    </row>
    <row r="405" ht="12.75">
      <c r="E405" s="8"/>
    </row>
    <row r="406" ht="12.75">
      <c r="E406" s="8"/>
    </row>
    <row r="407" ht="12.75">
      <c r="E407" s="8"/>
    </row>
    <row r="408" ht="12.75">
      <c r="E408" s="8"/>
    </row>
    <row r="409" ht="12.75">
      <c r="E409" s="8"/>
    </row>
    <row r="410" ht="12.75">
      <c r="E410" s="8"/>
    </row>
    <row r="411" ht="12.75">
      <c r="E411" s="8"/>
    </row>
    <row r="412" ht="12.75">
      <c r="E412" s="8"/>
    </row>
    <row r="413" ht="12.75">
      <c r="E413" s="8"/>
    </row>
    <row r="414" ht="12.75">
      <c r="E414" s="8"/>
    </row>
    <row r="415" ht="12.75">
      <c r="E415" s="8"/>
    </row>
    <row r="416" ht="12.75">
      <c r="E416" s="8"/>
    </row>
    <row r="417" ht="12.75">
      <c r="E417" s="8"/>
    </row>
    <row r="418" ht="12.75">
      <c r="E418" s="8"/>
    </row>
    <row r="419" ht="12.75">
      <c r="E419" s="8"/>
    </row>
    <row r="420" ht="12.75">
      <c r="E420" s="8"/>
    </row>
    <row r="421" ht="12.75">
      <c r="E421" s="8"/>
    </row>
    <row r="422" ht="12.75">
      <c r="E422" s="8"/>
    </row>
    <row r="423" ht="12.75">
      <c r="E423" s="8"/>
    </row>
    <row r="424" ht="12.75">
      <c r="E424" s="8"/>
    </row>
    <row r="425" ht="12.75">
      <c r="E425" s="8"/>
    </row>
    <row r="426" ht="12.75">
      <c r="E426" s="8"/>
    </row>
    <row r="427" ht="12.75">
      <c r="E427" s="8"/>
    </row>
    <row r="428" ht="12.75">
      <c r="E428" s="8"/>
    </row>
    <row r="429" ht="12.75">
      <c r="E429" s="8"/>
    </row>
    <row r="430" ht="12.75">
      <c r="E430" s="8"/>
    </row>
    <row r="431" ht="12.75">
      <c r="E431" s="8"/>
    </row>
    <row r="432" ht="12.75">
      <c r="E432" s="8"/>
    </row>
    <row r="433" ht="12.75">
      <c r="E433" s="8"/>
    </row>
    <row r="434" ht="12.75">
      <c r="E434" s="8"/>
    </row>
    <row r="435" ht="12.75">
      <c r="E435" s="8"/>
    </row>
    <row r="436" ht="12.75">
      <c r="E436" s="8"/>
    </row>
    <row r="437" ht="12.75">
      <c r="E437" s="8"/>
    </row>
    <row r="438" ht="12.75">
      <c r="E438" s="8"/>
    </row>
    <row r="439" ht="12.75">
      <c r="E439" s="8"/>
    </row>
    <row r="440" ht="12.75">
      <c r="E440" s="8"/>
    </row>
    <row r="441" ht="12.75">
      <c r="E441" s="8"/>
    </row>
    <row r="442" ht="12.75">
      <c r="E442" s="8"/>
    </row>
    <row r="443" ht="12.75">
      <c r="E443" s="8"/>
    </row>
    <row r="444" ht="12.75">
      <c r="E444" s="8"/>
    </row>
    <row r="445" ht="12.75">
      <c r="E445" s="8"/>
    </row>
    <row r="446" ht="12.75">
      <c r="E446" s="8"/>
    </row>
    <row r="447" ht="12.75">
      <c r="E447" s="8"/>
    </row>
    <row r="448" ht="12.75">
      <c r="E448" s="8"/>
    </row>
    <row r="449" ht="12.75">
      <c r="E449" s="8"/>
    </row>
    <row r="450" ht="12.75">
      <c r="E450" s="8"/>
    </row>
    <row r="451" ht="12.75">
      <c r="E451" s="8"/>
    </row>
    <row r="452" ht="12.75">
      <c r="E452" s="8"/>
    </row>
    <row r="453" ht="12.75">
      <c r="E453" s="8"/>
    </row>
    <row r="454" ht="12.75">
      <c r="E454" s="8"/>
    </row>
    <row r="455" ht="12.75">
      <c r="E455" s="8"/>
    </row>
    <row r="456" ht="12.75">
      <c r="E456" s="8"/>
    </row>
    <row r="457" ht="12.75">
      <c r="E457" s="8"/>
    </row>
    <row r="458" ht="12.75">
      <c r="E458" s="8"/>
    </row>
    <row r="459" ht="12.75">
      <c r="E459" s="8"/>
    </row>
    <row r="460" ht="12.75">
      <c r="E460" s="8"/>
    </row>
    <row r="461" ht="12.75">
      <c r="E461" s="8"/>
    </row>
    <row r="462" ht="12.75">
      <c r="E462" s="8"/>
    </row>
    <row r="463" ht="12.75">
      <c r="E463" s="8"/>
    </row>
    <row r="464" ht="12.75">
      <c r="E464" s="8"/>
    </row>
    <row r="465" ht="12.75">
      <c r="E465" s="8"/>
    </row>
    <row r="466" ht="12.75">
      <c r="E466" s="8"/>
    </row>
    <row r="467" ht="12.75">
      <c r="E467" s="8"/>
    </row>
    <row r="468" ht="12.75">
      <c r="E468" s="8"/>
    </row>
    <row r="469" ht="12.75">
      <c r="E469" s="8"/>
    </row>
    <row r="470" ht="12.75">
      <c r="E470" s="8"/>
    </row>
    <row r="471" ht="12.75">
      <c r="E471" s="8"/>
    </row>
    <row r="472" ht="12.75">
      <c r="E472" s="8"/>
    </row>
    <row r="473" ht="12.75">
      <c r="E473" s="8"/>
    </row>
    <row r="474" ht="12.75">
      <c r="E474" s="8"/>
    </row>
    <row r="475" ht="12.75">
      <c r="E475" s="8"/>
    </row>
    <row r="476" ht="12.75">
      <c r="E476" s="8"/>
    </row>
    <row r="477" ht="12.75">
      <c r="E477" s="8"/>
    </row>
    <row r="478" ht="12.75">
      <c r="E478" s="8"/>
    </row>
    <row r="479" ht="12.75">
      <c r="E479" s="8"/>
    </row>
    <row r="480" ht="12.75">
      <c r="E480" s="8"/>
    </row>
    <row r="481" ht="12.75">
      <c r="E481" s="8"/>
    </row>
    <row r="482" ht="12.75">
      <c r="E482" s="8"/>
    </row>
    <row r="483" ht="12.75">
      <c r="E483" s="8"/>
    </row>
    <row r="484" ht="12.75">
      <c r="E484" s="8"/>
    </row>
    <row r="485" ht="12.75">
      <c r="E485" s="8"/>
    </row>
    <row r="486" ht="12.75">
      <c r="E486" s="8"/>
    </row>
    <row r="487" ht="12.75">
      <c r="E487" s="8"/>
    </row>
    <row r="488" ht="12.75">
      <c r="E488" s="8"/>
    </row>
    <row r="489" ht="12.75">
      <c r="E489" s="8"/>
    </row>
    <row r="490" ht="12.75">
      <c r="E490" s="8"/>
    </row>
    <row r="491" ht="12.75">
      <c r="E491" s="8"/>
    </row>
    <row r="492" ht="12.75">
      <c r="E492" s="8"/>
    </row>
    <row r="493" ht="12.75">
      <c r="E493" s="8"/>
    </row>
    <row r="494" ht="12.75">
      <c r="E494" s="8"/>
    </row>
    <row r="495" ht="12.75">
      <c r="E495" s="8"/>
    </row>
    <row r="496" ht="12.75">
      <c r="E496" s="8"/>
    </row>
    <row r="497" ht="12.75">
      <c r="E497" s="8"/>
    </row>
    <row r="498" ht="12.75">
      <c r="E498" s="8"/>
    </row>
    <row r="499" ht="12.75">
      <c r="E499" s="8"/>
    </row>
    <row r="500" ht="12.75">
      <c r="E500" s="8"/>
    </row>
    <row r="501" ht="12.75">
      <c r="E501" s="8"/>
    </row>
    <row r="502" ht="12.75">
      <c r="E502" s="8"/>
    </row>
    <row r="503" ht="12.75">
      <c r="E503" s="8"/>
    </row>
    <row r="504" ht="12.75">
      <c r="E504" s="8"/>
    </row>
    <row r="505" ht="12.75">
      <c r="E505" s="8"/>
    </row>
    <row r="506" ht="12.75">
      <c r="E506" s="8"/>
    </row>
    <row r="507" ht="12.75">
      <c r="E507" s="8"/>
    </row>
    <row r="508" ht="12.75">
      <c r="E508" s="8"/>
    </row>
    <row r="509" ht="12.75">
      <c r="E509" s="8"/>
    </row>
    <row r="510" ht="12.75">
      <c r="E510" s="8"/>
    </row>
    <row r="511" ht="12.75">
      <c r="E511" s="8"/>
    </row>
    <row r="512" ht="12.75">
      <c r="E512" s="8"/>
    </row>
    <row r="513" ht="12.75">
      <c r="E513" s="8"/>
    </row>
    <row r="514" ht="12.75">
      <c r="E514" s="8"/>
    </row>
    <row r="515" ht="12.75">
      <c r="E515" s="8"/>
    </row>
    <row r="516" ht="12.75">
      <c r="E516" s="8"/>
    </row>
    <row r="517" ht="12.75">
      <c r="E517" s="8"/>
    </row>
    <row r="518" ht="12.75">
      <c r="E518" s="8"/>
    </row>
    <row r="519" ht="12.75">
      <c r="E519" s="8"/>
    </row>
    <row r="520" ht="12.75">
      <c r="E520" s="8"/>
    </row>
    <row r="521" ht="12.75">
      <c r="E521" s="8"/>
    </row>
    <row r="522" ht="12.75">
      <c r="E522" s="8"/>
    </row>
    <row r="523" ht="12.75">
      <c r="E523" s="8"/>
    </row>
    <row r="524" ht="12.75">
      <c r="E524" s="8"/>
    </row>
    <row r="525" ht="12.75">
      <c r="E525" s="8"/>
    </row>
    <row r="526" ht="12.75">
      <c r="E526" s="8"/>
    </row>
    <row r="527" ht="12.75">
      <c r="E527" s="8"/>
    </row>
    <row r="528" ht="12.75">
      <c r="E528" s="8"/>
    </row>
    <row r="529" ht="12.75">
      <c r="E529" s="8"/>
    </row>
    <row r="530" ht="12.75">
      <c r="E530" s="8"/>
    </row>
    <row r="531" ht="12.75">
      <c r="E531" s="8"/>
    </row>
    <row r="532" ht="12.75">
      <c r="E532" s="8"/>
    </row>
    <row r="533" ht="12.75">
      <c r="E533" s="8"/>
    </row>
    <row r="534" ht="12.75">
      <c r="E534" s="8"/>
    </row>
    <row r="535" ht="12.75">
      <c r="E535" s="8"/>
    </row>
    <row r="536" ht="12.75">
      <c r="E536" s="8"/>
    </row>
    <row r="537" ht="12.75">
      <c r="E537" s="8"/>
    </row>
    <row r="538" ht="12.75">
      <c r="E538" s="8"/>
    </row>
    <row r="539" ht="12.75">
      <c r="E539" s="8"/>
    </row>
    <row r="540" ht="12.75">
      <c r="E540" s="8"/>
    </row>
    <row r="541" ht="12.75">
      <c r="E541" s="8"/>
    </row>
    <row r="542" ht="12.75">
      <c r="E542" s="8"/>
    </row>
    <row r="543" ht="12.75">
      <c r="E543" s="8"/>
    </row>
    <row r="544" ht="12.75">
      <c r="E544" s="8"/>
    </row>
    <row r="545" ht="12.75">
      <c r="E545" s="8"/>
    </row>
    <row r="546" ht="12.75">
      <c r="E546" s="8"/>
    </row>
    <row r="547" ht="12.75">
      <c r="E547" s="8"/>
    </row>
    <row r="548" ht="12.75">
      <c r="E548" s="8"/>
    </row>
    <row r="549" ht="12.75">
      <c r="E549" s="8"/>
    </row>
    <row r="550" ht="12.75">
      <c r="E550" s="8"/>
    </row>
    <row r="551" ht="12.75">
      <c r="E551" s="8"/>
    </row>
    <row r="552" ht="12.75">
      <c r="E552" s="8"/>
    </row>
    <row r="553" ht="12.75">
      <c r="E553" s="8"/>
    </row>
    <row r="554" ht="12.75">
      <c r="E554" s="8"/>
    </row>
    <row r="555" ht="12.75">
      <c r="E555" s="8"/>
    </row>
    <row r="556" ht="12.75">
      <c r="E556" s="8"/>
    </row>
    <row r="557" ht="12.75">
      <c r="E557" s="8"/>
    </row>
    <row r="558" ht="12.75">
      <c r="E558" s="8"/>
    </row>
    <row r="559" ht="12.75">
      <c r="E559" s="8"/>
    </row>
    <row r="560" ht="12.75">
      <c r="E560" s="8"/>
    </row>
    <row r="561" ht="12.75">
      <c r="E561" s="8"/>
    </row>
    <row r="562" ht="12.75">
      <c r="E562" s="8"/>
    </row>
    <row r="563" ht="12.75">
      <c r="E563" s="8"/>
    </row>
    <row r="564" ht="12.75">
      <c r="E564" s="8"/>
    </row>
    <row r="565" ht="12.75">
      <c r="E565" s="8"/>
    </row>
    <row r="566" ht="12.75">
      <c r="E566" s="8"/>
    </row>
    <row r="567" ht="12.75">
      <c r="E567" s="8"/>
    </row>
    <row r="568" ht="12.75">
      <c r="E568" s="8"/>
    </row>
    <row r="569" ht="12.75">
      <c r="E569" s="8"/>
    </row>
    <row r="570" ht="12.75">
      <c r="E570" s="8"/>
    </row>
    <row r="571" ht="12.75">
      <c r="E571" s="8"/>
    </row>
    <row r="572" ht="12.75">
      <c r="E572" s="8"/>
    </row>
    <row r="573" ht="12.75">
      <c r="E573" s="8"/>
    </row>
    <row r="574" ht="12.75">
      <c r="E574" s="8"/>
    </row>
    <row r="575" ht="12.75">
      <c r="E575" s="8"/>
    </row>
    <row r="576" ht="12.75">
      <c r="E576" s="8"/>
    </row>
    <row r="577" ht="12.75">
      <c r="E577" s="8"/>
    </row>
    <row r="578" ht="12.75">
      <c r="E578" s="8"/>
    </row>
    <row r="579" ht="12.75">
      <c r="E579" s="8"/>
    </row>
    <row r="580" ht="12.75">
      <c r="E580" s="8"/>
    </row>
    <row r="581" ht="12.75">
      <c r="E581" s="8"/>
    </row>
    <row r="582" ht="12.75">
      <c r="E582" s="8"/>
    </row>
    <row r="583" ht="12.75">
      <c r="E583" s="8"/>
    </row>
    <row r="584" ht="12.75">
      <c r="E584" s="8"/>
    </row>
    <row r="585" ht="12.75">
      <c r="E585" s="8"/>
    </row>
    <row r="586" ht="12.75">
      <c r="E586" s="8"/>
    </row>
    <row r="587" ht="12.75">
      <c r="E587" s="8"/>
    </row>
    <row r="588" ht="12.75">
      <c r="E588" s="8"/>
    </row>
    <row r="589" ht="12.75">
      <c r="E589" s="8"/>
    </row>
    <row r="590" ht="12.75">
      <c r="E590" s="8"/>
    </row>
    <row r="591" ht="12.75">
      <c r="E591" s="8"/>
    </row>
    <row r="592" ht="12.75">
      <c r="E592" s="8"/>
    </row>
    <row r="593" ht="12.75">
      <c r="E593" s="8"/>
    </row>
    <row r="594" ht="12.75">
      <c r="E594" s="8"/>
    </row>
    <row r="595" ht="12.75">
      <c r="E595" s="8"/>
    </row>
    <row r="596" ht="12.75">
      <c r="E596" s="8"/>
    </row>
    <row r="597" ht="12.75">
      <c r="E597" s="8"/>
    </row>
    <row r="598" ht="12.75">
      <c r="E598" s="8"/>
    </row>
    <row r="599" ht="12.75">
      <c r="E599" s="8"/>
    </row>
    <row r="600" ht="12.75">
      <c r="E600" s="8"/>
    </row>
    <row r="601" ht="12.75">
      <c r="E601" s="8"/>
    </row>
    <row r="602" ht="12.75">
      <c r="E602" s="8"/>
    </row>
    <row r="603" ht="12.75">
      <c r="E603" s="8"/>
    </row>
    <row r="604" ht="12.75">
      <c r="E604" s="8"/>
    </row>
    <row r="605" ht="12.75">
      <c r="E605" s="8"/>
    </row>
    <row r="606" ht="12.75">
      <c r="E606" s="8"/>
    </row>
    <row r="607" ht="12.75">
      <c r="E607" s="8"/>
    </row>
    <row r="608" ht="12.75">
      <c r="E608" s="8"/>
    </row>
    <row r="609" ht="12.75">
      <c r="E609" s="8"/>
    </row>
    <row r="610" ht="12.75">
      <c r="E610" s="8"/>
    </row>
    <row r="611" ht="12.75">
      <c r="E611" s="8"/>
    </row>
    <row r="612" ht="12.75">
      <c r="E612" s="8"/>
    </row>
    <row r="613" ht="12.75">
      <c r="E613" s="8"/>
    </row>
    <row r="614" ht="12.75">
      <c r="E614" s="8"/>
    </row>
    <row r="615" ht="12.75">
      <c r="E615" s="8"/>
    </row>
    <row r="616" ht="12.75">
      <c r="E616" s="8"/>
    </row>
    <row r="617" ht="12.75">
      <c r="E617" s="8"/>
    </row>
    <row r="618" ht="12.75">
      <c r="E618" s="8"/>
    </row>
    <row r="619" ht="12.75">
      <c r="E619" s="8"/>
    </row>
    <row r="620" ht="12.75">
      <c r="E620" s="8"/>
    </row>
    <row r="621" ht="12.75">
      <c r="E621" s="8"/>
    </row>
    <row r="622" ht="12.75">
      <c r="E622" s="8"/>
    </row>
    <row r="623" ht="12.75">
      <c r="E623" s="8"/>
    </row>
    <row r="624" ht="12.75">
      <c r="E624" s="8"/>
    </row>
    <row r="625" ht="12.75">
      <c r="E625" s="8"/>
    </row>
    <row r="626" ht="12.75">
      <c r="E626" s="8"/>
    </row>
    <row r="627" ht="12.75">
      <c r="E627" s="8"/>
    </row>
    <row r="628" ht="12.75">
      <c r="E628" s="8"/>
    </row>
    <row r="629" ht="12.75">
      <c r="E629" s="8"/>
    </row>
    <row r="630" ht="12.75">
      <c r="E630" s="8"/>
    </row>
    <row r="631" ht="12.75">
      <c r="E631" s="8"/>
    </row>
    <row r="632" ht="12.75">
      <c r="E632" s="8"/>
    </row>
    <row r="633" ht="12.75">
      <c r="E633" s="8"/>
    </row>
    <row r="634" ht="12.75">
      <c r="E634" s="8"/>
    </row>
    <row r="635" ht="12.75">
      <c r="E635" s="8"/>
    </row>
    <row r="636" ht="12.75">
      <c r="E636" s="8"/>
    </row>
    <row r="637" ht="12.75">
      <c r="E637" s="8"/>
    </row>
    <row r="638" ht="12.75">
      <c r="E638" s="8"/>
    </row>
    <row r="639" ht="12.75">
      <c r="E639" s="8"/>
    </row>
    <row r="640" ht="12.75">
      <c r="E640" s="8"/>
    </row>
    <row r="641" ht="12.75">
      <c r="E641" s="8"/>
    </row>
    <row r="642" ht="12.75">
      <c r="E642" s="8"/>
    </row>
    <row r="643" ht="12.75">
      <c r="E643" s="8"/>
    </row>
    <row r="644" ht="12.75">
      <c r="E644" s="8"/>
    </row>
    <row r="645" ht="12.75">
      <c r="E645" s="8"/>
    </row>
    <row r="646" ht="12.75">
      <c r="E646" s="8"/>
    </row>
    <row r="647" ht="12.75">
      <c r="E647" s="8"/>
    </row>
    <row r="648" ht="12.75">
      <c r="E648" s="8"/>
    </row>
    <row r="649" ht="12.75">
      <c r="E649" s="8"/>
    </row>
    <row r="650" ht="12.75">
      <c r="E650" s="8"/>
    </row>
    <row r="651" ht="12.75">
      <c r="E651" s="8"/>
    </row>
    <row r="652" ht="12.75">
      <c r="E652" s="8"/>
    </row>
    <row r="653" ht="12.75">
      <c r="E653" s="8"/>
    </row>
    <row r="654" ht="12.75">
      <c r="E654" s="8"/>
    </row>
    <row r="655" ht="12.75">
      <c r="E655" s="8"/>
    </row>
    <row r="656" ht="12.75">
      <c r="E656" s="8"/>
    </row>
    <row r="657" ht="12.75">
      <c r="E657" s="8"/>
    </row>
    <row r="658" ht="12.75">
      <c r="E658" s="8"/>
    </row>
    <row r="659" ht="12.75">
      <c r="E659" s="8"/>
    </row>
    <row r="660" ht="12.75">
      <c r="E660" s="8"/>
    </row>
    <row r="661" ht="12.75">
      <c r="E661" s="8"/>
    </row>
    <row r="662" ht="12.75">
      <c r="E662" s="8"/>
    </row>
    <row r="663" ht="12.75">
      <c r="E663" s="8"/>
    </row>
    <row r="664" ht="12.75">
      <c r="E664" s="8"/>
    </row>
    <row r="665" ht="12.75">
      <c r="E665" s="8"/>
    </row>
    <row r="666" ht="12.75">
      <c r="E666" s="8"/>
    </row>
    <row r="667" ht="12.75">
      <c r="E667" s="8"/>
    </row>
    <row r="668" ht="12.75">
      <c r="E668" s="8"/>
    </row>
    <row r="669" ht="12.75">
      <c r="E669" s="8"/>
    </row>
    <row r="670" ht="12.75">
      <c r="E670" s="8"/>
    </row>
    <row r="671" ht="12.75">
      <c r="E671" s="8"/>
    </row>
    <row r="672" ht="12.75">
      <c r="E672" s="8"/>
    </row>
    <row r="673" ht="12.75">
      <c r="E673" s="8"/>
    </row>
    <row r="674" ht="12.75">
      <c r="E674" s="8"/>
    </row>
    <row r="675" ht="12.75">
      <c r="E675" s="8"/>
    </row>
    <row r="676" ht="12.75">
      <c r="E676" s="8"/>
    </row>
    <row r="677" ht="12.75">
      <c r="E677" s="8"/>
    </row>
    <row r="678" ht="12.75">
      <c r="E678" s="8"/>
    </row>
    <row r="679" ht="12.75">
      <c r="E679" s="8"/>
    </row>
    <row r="680" ht="12.75">
      <c r="E680" s="8"/>
    </row>
    <row r="681" ht="12.75">
      <c r="E681" s="8"/>
    </row>
    <row r="682" ht="12.75">
      <c r="E682" s="8"/>
    </row>
    <row r="683" ht="12.75">
      <c r="E683" s="8"/>
    </row>
    <row r="684" ht="12.75">
      <c r="E684" s="8"/>
    </row>
    <row r="685" ht="12.75">
      <c r="E685" s="8"/>
    </row>
    <row r="686" ht="12.75">
      <c r="E686" s="8"/>
    </row>
    <row r="687" ht="12.75">
      <c r="E687" s="8"/>
    </row>
    <row r="688" ht="12.75">
      <c r="E688" s="8"/>
    </row>
    <row r="689" ht="12.75">
      <c r="E689" s="8"/>
    </row>
    <row r="690" ht="12.75">
      <c r="E690" s="8"/>
    </row>
    <row r="691" ht="12.75">
      <c r="E691" s="8"/>
    </row>
    <row r="692" ht="12.75">
      <c r="E692" s="8"/>
    </row>
    <row r="693" ht="12.75">
      <c r="E693" s="8"/>
    </row>
    <row r="694" ht="12.75">
      <c r="E694" s="8"/>
    </row>
    <row r="695" ht="12.75">
      <c r="E695" s="8"/>
    </row>
    <row r="696" ht="12.75">
      <c r="E696" s="8"/>
    </row>
    <row r="697" ht="12.75">
      <c r="E697" s="8"/>
    </row>
    <row r="698" ht="12.75">
      <c r="E698" s="8"/>
    </row>
    <row r="699" ht="12.75">
      <c r="E699" s="8"/>
    </row>
    <row r="700" ht="12.75">
      <c r="E700" s="8"/>
    </row>
    <row r="701" ht="12.75">
      <c r="E701" s="8"/>
    </row>
    <row r="702" ht="12.75">
      <c r="E702" s="8"/>
    </row>
    <row r="703" ht="12.75">
      <c r="E703" s="8"/>
    </row>
    <row r="704" ht="12.75">
      <c r="E704" s="8"/>
    </row>
    <row r="705" ht="12.75">
      <c r="E705" s="8"/>
    </row>
    <row r="706" ht="12.75">
      <c r="E706" s="8"/>
    </row>
    <row r="707" ht="12.75">
      <c r="E707" s="8"/>
    </row>
    <row r="708" ht="12.75">
      <c r="E708" s="8"/>
    </row>
    <row r="709" ht="12.75">
      <c r="E709" s="8"/>
    </row>
    <row r="710" ht="12.75">
      <c r="E710" s="8"/>
    </row>
    <row r="711" ht="12.75">
      <c r="E711" s="8"/>
    </row>
    <row r="712" ht="12.75">
      <c r="E712" s="8"/>
    </row>
    <row r="713" ht="12.75">
      <c r="E713" s="8"/>
    </row>
    <row r="714" ht="12.75">
      <c r="E714" s="8"/>
    </row>
    <row r="715" ht="12.75">
      <c r="E715" s="8"/>
    </row>
    <row r="716" ht="12.75">
      <c r="E716" s="8"/>
    </row>
    <row r="717" ht="12.75">
      <c r="E717" s="8"/>
    </row>
    <row r="718" ht="12.75">
      <c r="E718" s="8"/>
    </row>
    <row r="719" ht="12.75">
      <c r="E719" s="8"/>
    </row>
    <row r="720" ht="12.75">
      <c r="E720" s="8"/>
    </row>
    <row r="721" ht="12.75">
      <c r="E721" s="8"/>
    </row>
    <row r="722" ht="12.75">
      <c r="E722" s="8"/>
    </row>
    <row r="723" ht="12.75">
      <c r="E723" s="8"/>
    </row>
    <row r="724" ht="12.75">
      <c r="E724" s="8"/>
    </row>
    <row r="725" ht="12.75">
      <c r="E725" s="8"/>
    </row>
    <row r="726" ht="12.75">
      <c r="E726" s="8"/>
    </row>
    <row r="727" ht="12.75">
      <c r="E727" s="8"/>
    </row>
    <row r="728" ht="12.75">
      <c r="E728" s="8"/>
    </row>
    <row r="729" ht="12.75">
      <c r="E729" s="8"/>
    </row>
    <row r="730" ht="12.75">
      <c r="E730" s="8"/>
    </row>
    <row r="731" ht="12.75">
      <c r="E731" s="8"/>
    </row>
    <row r="732" ht="12.75">
      <c r="E732" s="8"/>
    </row>
    <row r="733" ht="12.75">
      <c r="E733" s="8"/>
    </row>
    <row r="734" ht="12.75">
      <c r="E734" s="8"/>
    </row>
    <row r="735" ht="12.75">
      <c r="E735" s="8"/>
    </row>
    <row r="736" ht="12.75">
      <c r="E736" s="8"/>
    </row>
    <row r="737" ht="12.75">
      <c r="E737" s="8"/>
    </row>
    <row r="738" ht="12.75">
      <c r="E738" s="8"/>
    </row>
    <row r="739" ht="12.75">
      <c r="E739" s="8"/>
    </row>
    <row r="740" ht="12.75">
      <c r="E740" s="8"/>
    </row>
    <row r="741" ht="12.75">
      <c r="E741" s="8"/>
    </row>
    <row r="742" ht="12.75">
      <c r="E742" s="8"/>
    </row>
    <row r="743" ht="12.75">
      <c r="E743" s="8"/>
    </row>
    <row r="744" ht="12.75">
      <c r="E744" s="8"/>
    </row>
    <row r="745" ht="12.75">
      <c r="E745" s="8"/>
    </row>
    <row r="746" ht="12.75">
      <c r="E746" s="8"/>
    </row>
    <row r="747" ht="12.75">
      <c r="E747" s="8"/>
    </row>
    <row r="748" ht="12.75">
      <c r="E748" s="8"/>
    </row>
    <row r="749" ht="12.75">
      <c r="E749" s="8"/>
    </row>
    <row r="750" ht="12.75">
      <c r="E750" s="8"/>
    </row>
    <row r="751" ht="12.75">
      <c r="E751" s="8"/>
    </row>
    <row r="752" ht="12.75">
      <c r="E752" s="8"/>
    </row>
    <row r="753" ht="12.75">
      <c r="E753" s="8"/>
    </row>
    <row r="754" ht="12.75">
      <c r="E754" s="8"/>
    </row>
    <row r="755" ht="12.75">
      <c r="E755" s="8"/>
    </row>
    <row r="756" ht="12.75">
      <c r="E756" s="8"/>
    </row>
    <row r="757" ht="12.75">
      <c r="E757" s="8"/>
    </row>
    <row r="758" ht="12.75">
      <c r="E758" s="8"/>
    </row>
    <row r="759" ht="12.75">
      <c r="E759" s="8"/>
    </row>
    <row r="760" ht="12.75">
      <c r="E760" s="8"/>
    </row>
    <row r="761" ht="12.75">
      <c r="E761" s="8"/>
    </row>
    <row r="762" ht="12.75">
      <c r="E762" s="8"/>
    </row>
    <row r="763" ht="12.75">
      <c r="E763" s="8"/>
    </row>
    <row r="764" ht="12.75">
      <c r="E764" s="8"/>
    </row>
    <row r="765" ht="12.75">
      <c r="E765" s="8"/>
    </row>
    <row r="766" ht="12.75">
      <c r="E766" s="8"/>
    </row>
    <row r="767" ht="12.75">
      <c r="E767" s="8"/>
    </row>
    <row r="768" ht="12.75">
      <c r="E768" s="8"/>
    </row>
    <row r="769" ht="12.75">
      <c r="E769" s="8"/>
    </row>
    <row r="770" ht="12.75">
      <c r="E770" s="8"/>
    </row>
    <row r="771" ht="12.75">
      <c r="E771" s="8"/>
    </row>
    <row r="772" ht="12.75">
      <c r="E772" s="8"/>
    </row>
    <row r="773" ht="12.75">
      <c r="E773" s="8"/>
    </row>
    <row r="774" ht="12.75">
      <c r="E774" s="8"/>
    </row>
    <row r="775" ht="12.75">
      <c r="E775" s="8"/>
    </row>
    <row r="776" ht="12.75">
      <c r="E776" s="8"/>
    </row>
    <row r="777" ht="12.75">
      <c r="E777" s="8"/>
    </row>
    <row r="778" ht="12.75">
      <c r="E778" s="8"/>
    </row>
    <row r="779" ht="12.75">
      <c r="E779" s="8"/>
    </row>
    <row r="780" ht="12.75">
      <c r="E780" s="8"/>
    </row>
    <row r="781" ht="12.75">
      <c r="E781" s="8"/>
    </row>
    <row r="782" ht="12.75">
      <c r="E782" s="8"/>
    </row>
    <row r="783" ht="12.75">
      <c r="E783" s="8"/>
    </row>
    <row r="784" ht="12.75">
      <c r="E784" s="8"/>
    </row>
    <row r="785" ht="12.75">
      <c r="E785" s="8"/>
    </row>
    <row r="786" ht="12.75">
      <c r="E786" s="8"/>
    </row>
    <row r="787" ht="12.75">
      <c r="E787" s="8"/>
    </row>
    <row r="788" ht="12.75">
      <c r="E788" s="8"/>
    </row>
    <row r="789" ht="12.75">
      <c r="E789" s="8"/>
    </row>
    <row r="790" ht="12.75">
      <c r="E790" s="8"/>
    </row>
    <row r="791" ht="12.75">
      <c r="E791" s="8"/>
    </row>
    <row r="792" ht="12.75">
      <c r="E792" s="8"/>
    </row>
    <row r="793" ht="12.75">
      <c r="E793" s="8"/>
    </row>
    <row r="794" ht="12.75">
      <c r="E794" s="8"/>
    </row>
    <row r="795" ht="12.75">
      <c r="E795" s="8"/>
    </row>
    <row r="796" ht="12.75">
      <c r="E796" s="8"/>
    </row>
    <row r="797" ht="12.75">
      <c r="E797" s="8"/>
    </row>
    <row r="798" ht="12.75">
      <c r="E798" s="8"/>
    </row>
    <row r="799" ht="12.75">
      <c r="E799" s="8"/>
    </row>
    <row r="800" ht="12.75">
      <c r="E800" s="8"/>
    </row>
    <row r="801" ht="12.75">
      <c r="E801" s="8"/>
    </row>
    <row r="802" ht="12.75">
      <c r="E802" s="8"/>
    </row>
    <row r="803" ht="12.75">
      <c r="E803" s="8"/>
    </row>
    <row r="804" ht="12.75">
      <c r="E804" s="8"/>
    </row>
    <row r="805" ht="12.75">
      <c r="E805" s="8"/>
    </row>
    <row r="806" ht="12.75">
      <c r="E806" s="8"/>
    </row>
    <row r="807" ht="12.75">
      <c r="E807" s="8"/>
    </row>
    <row r="808" ht="12.75">
      <c r="E808" s="8"/>
    </row>
    <row r="809" ht="12.75">
      <c r="E809" s="8"/>
    </row>
    <row r="810" ht="12.75">
      <c r="E810" s="8"/>
    </row>
    <row r="811" ht="12.75">
      <c r="E811" s="8"/>
    </row>
    <row r="812" ht="12.75">
      <c r="E812" s="8"/>
    </row>
    <row r="813" ht="12.75">
      <c r="E813" s="8"/>
    </row>
    <row r="814" ht="12.75">
      <c r="E814" s="8"/>
    </row>
    <row r="815" ht="12.75">
      <c r="E815" s="8"/>
    </row>
    <row r="816" ht="12.75">
      <c r="E816" s="8"/>
    </row>
    <row r="817" ht="12.75">
      <c r="E817" s="8"/>
    </row>
    <row r="818" ht="12.75">
      <c r="E818" s="8"/>
    </row>
    <row r="819" ht="12.75">
      <c r="E819" s="8"/>
    </row>
    <row r="820" ht="12.75">
      <c r="E820" s="8"/>
    </row>
    <row r="821" ht="12.75">
      <c r="E821" s="8"/>
    </row>
    <row r="822" ht="12.75">
      <c r="E822" s="8"/>
    </row>
    <row r="823" ht="12.75">
      <c r="E823" s="8"/>
    </row>
    <row r="824" ht="12.75">
      <c r="E824" s="8"/>
    </row>
    <row r="825" ht="12.75">
      <c r="E825" s="8"/>
    </row>
    <row r="826" ht="12.75">
      <c r="E826" s="8"/>
    </row>
    <row r="827" ht="12.75">
      <c r="E827" s="8"/>
    </row>
    <row r="828" ht="12.75">
      <c r="E828" s="8"/>
    </row>
    <row r="829" ht="12.75">
      <c r="E829" s="8"/>
    </row>
    <row r="830" ht="12.75">
      <c r="E830" s="8"/>
    </row>
    <row r="831" ht="12.75">
      <c r="E831" s="8"/>
    </row>
    <row r="832" ht="12.75">
      <c r="E832" s="8"/>
    </row>
    <row r="833" ht="12.75">
      <c r="E833" s="8"/>
    </row>
    <row r="834" ht="12.75">
      <c r="E834" s="8"/>
    </row>
    <row r="835" ht="12.75">
      <c r="E835" s="8"/>
    </row>
    <row r="836" ht="12.75">
      <c r="E836" s="8"/>
    </row>
    <row r="837" ht="12.75">
      <c r="E837" s="8"/>
    </row>
    <row r="838" ht="12.75">
      <c r="E838" s="8"/>
    </row>
    <row r="839" ht="12.75">
      <c r="E839" s="8"/>
    </row>
    <row r="840" ht="12.75">
      <c r="E840" s="8"/>
    </row>
    <row r="841" ht="12.75">
      <c r="E841" s="8"/>
    </row>
    <row r="842" ht="12.75">
      <c r="E842" s="8"/>
    </row>
    <row r="843" ht="12.75">
      <c r="E843" s="8"/>
    </row>
    <row r="844" ht="12.75">
      <c r="E844" s="8"/>
    </row>
    <row r="845" ht="12.75">
      <c r="E845" s="8"/>
    </row>
    <row r="846" ht="12.75">
      <c r="E846" s="8"/>
    </row>
    <row r="847" ht="12.75">
      <c r="E847" s="8"/>
    </row>
    <row r="848" ht="12.75">
      <c r="E848" s="8"/>
    </row>
    <row r="849" ht="12.75">
      <c r="E849" s="8"/>
    </row>
    <row r="850" ht="12.75">
      <c r="E850" s="8"/>
    </row>
    <row r="851" ht="12.75">
      <c r="E851" s="8"/>
    </row>
    <row r="852" ht="12.75">
      <c r="E852" s="8"/>
    </row>
    <row r="853" ht="12.75">
      <c r="E853" s="8"/>
    </row>
    <row r="854" ht="12.75">
      <c r="E854" s="8"/>
    </row>
    <row r="855" ht="12.75">
      <c r="E855" s="8"/>
    </row>
    <row r="856" ht="12.75">
      <c r="E856" s="8"/>
    </row>
    <row r="857" ht="12.75">
      <c r="E857" s="8"/>
    </row>
    <row r="858" ht="12.75">
      <c r="E858" s="8"/>
    </row>
    <row r="859" ht="12.75">
      <c r="E859" s="8"/>
    </row>
    <row r="860" ht="12.75">
      <c r="E860" s="8"/>
    </row>
    <row r="861" ht="12.75">
      <c r="E861" s="8"/>
    </row>
    <row r="862" ht="12.75">
      <c r="E862" s="8"/>
    </row>
    <row r="863" ht="12.75">
      <c r="E863" s="8"/>
    </row>
    <row r="864" ht="12.75">
      <c r="E864" s="8"/>
    </row>
    <row r="865" ht="12.75">
      <c r="E865" s="8"/>
    </row>
    <row r="866" ht="12.75">
      <c r="E866" s="8"/>
    </row>
    <row r="867" ht="12.75">
      <c r="E867" s="8"/>
    </row>
    <row r="868" ht="12.75">
      <c r="E868" s="8"/>
    </row>
    <row r="869" ht="12.75">
      <c r="E869" s="8"/>
    </row>
    <row r="870" ht="12.75">
      <c r="E870" s="8"/>
    </row>
    <row r="871" ht="12.75">
      <c r="E871" s="8"/>
    </row>
    <row r="872" ht="12.75">
      <c r="E872" s="8"/>
    </row>
    <row r="873" ht="12.75">
      <c r="E873" s="8"/>
    </row>
    <row r="874" ht="12.75">
      <c r="E874" s="8"/>
    </row>
    <row r="875" ht="12.75">
      <c r="E875" s="8"/>
    </row>
    <row r="876" ht="12.75">
      <c r="E876" s="8"/>
    </row>
    <row r="877" ht="12.75">
      <c r="E877" s="8"/>
    </row>
    <row r="878" ht="12.75">
      <c r="E878" s="8"/>
    </row>
    <row r="879" ht="12.75">
      <c r="E879" s="8"/>
    </row>
    <row r="880" ht="12.75">
      <c r="E880" s="8"/>
    </row>
    <row r="881" ht="12.75">
      <c r="E881" s="8"/>
    </row>
    <row r="882" ht="12.75">
      <c r="E882" s="8"/>
    </row>
    <row r="883" ht="12.75">
      <c r="E883" s="8"/>
    </row>
    <row r="884" ht="12.75">
      <c r="E884" s="8"/>
    </row>
    <row r="885" ht="12.75">
      <c r="E885" s="8"/>
    </row>
    <row r="886" ht="12.75">
      <c r="E886" s="8"/>
    </row>
    <row r="887" ht="12.75">
      <c r="E887" s="8"/>
    </row>
    <row r="888" ht="12.75">
      <c r="E888" s="8"/>
    </row>
    <row r="889" ht="12.75">
      <c r="E889" s="8"/>
    </row>
    <row r="890" ht="12.75">
      <c r="E890" s="8"/>
    </row>
    <row r="891" ht="12.75">
      <c r="E891" s="8"/>
    </row>
    <row r="892" ht="12.75">
      <c r="E892" s="8"/>
    </row>
    <row r="893" ht="12.75">
      <c r="E893" s="8"/>
    </row>
    <row r="894" ht="12.75">
      <c r="E894" s="8"/>
    </row>
    <row r="895" ht="12.75">
      <c r="E895" s="8"/>
    </row>
    <row r="896" ht="12.75">
      <c r="E896" s="8"/>
    </row>
    <row r="897" ht="12.75">
      <c r="E897" s="8"/>
    </row>
    <row r="898" ht="12.75">
      <c r="E898" s="8"/>
    </row>
    <row r="899" ht="12.75">
      <c r="E899" s="8"/>
    </row>
    <row r="900" ht="12.75">
      <c r="E900" s="8"/>
    </row>
    <row r="901" ht="12.75">
      <c r="E901" s="8"/>
    </row>
    <row r="902" ht="12.75">
      <c r="E902" s="8"/>
    </row>
    <row r="903" ht="12.75">
      <c r="E903" s="8"/>
    </row>
    <row r="904" ht="12.75">
      <c r="E904" s="8"/>
    </row>
    <row r="905" ht="12.75">
      <c r="E905" s="8"/>
    </row>
    <row r="906" ht="12.75">
      <c r="E906" s="8"/>
    </row>
    <row r="907" ht="12.75">
      <c r="E907" s="8"/>
    </row>
    <row r="908" ht="12.75">
      <c r="E908" s="8"/>
    </row>
    <row r="909" ht="12.75">
      <c r="E909" s="8"/>
    </row>
    <row r="910" ht="12.75">
      <c r="E910" s="8"/>
    </row>
    <row r="911" ht="12.75">
      <c r="E911" s="8"/>
    </row>
    <row r="912" ht="12.75">
      <c r="E912" s="8"/>
    </row>
    <row r="913" ht="12.75">
      <c r="E913" s="8"/>
    </row>
    <row r="914" ht="12.75">
      <c r="E914" s="8"/>
    </row>
    <row r="915" ht="12.75">
      <c r="E915" s="8"/>
    </row>
    <row r="916" ht="12.75">
      <c r="E916" s="8"/>
    </row>
    <row r="917" ht="12.75">
      <c r="E917" s="8"/>
    </row>
    <row r="918" ht="12.75">
      <c r="E918" s="8"/>
    </row>
    <row r="919" ht="12.75">
      <c r="E919" s="8"/>
    </row>
    <row r="920" ht="12.75">
      <c r="E920" s="8"/>
    </row>
    <row r="921" ht="12.75">
      <c r="E921" s="8"/>
    </row>
    <row r="922" ht="12.75">
      <c r="E922" s="8"/>
    </row>
    <row r="923" ht="12.75">
      <c r="E923" s="8"/>
    </row>
    <row r="924" ht="12.75">
      <c r="E924" s="8"/>
    </row>
    <row r="925" ht="12.75">
      <c r="E925" s="8"/>
    </row>
    <row r="926" ht="12.75">
      <c r="E926" s="8"/>
    </row>
    <row r="927" ht="12.75">
      <c r="E927" s="8"/>
    </row>
    <row r="928" ht="12.75">
      <c r="E928" s="8"/>
    </row>
    <row r="929" ht="12.75">
      <c r="E929" s="8"/>
    </row>
    <row r="930" ht="12.75">
      <c r="E930" s="8"/>
    </row>
    <row r="931" ht="12.75">
      <c r="E931" s="8"/>
    </row>
    <row r="932" ht="12.75">
      <c r="E932" s="8"/>
    </row>
    <row r="933" ht="12.75">
      <c r="E933" s="8"/>
    </row>
    <row r="934" ht="12.75">
      <c r="E934" s="8"/>
    </row>
    <row r="935" ht="12.75">
      <c r="E935" s="8"/>
    </row>
    <row r="936" ht="12.75">
      <c r="E936" s="8"/>
    </row>
    <row r="937" ht="12.75">
      <c r="E937" s="8"/>
    </row>
    <row r="938" ht="12.75">
      <c r="E938" s="8"/>
    </row>
    <row r="939" ht="12.75">
      <c r="E939" s="8"/>
    </row>
    <row r="940" ht="12.75">
      <c r="E940" s="8"/>
    </row>
    <row r="941" ht="12.75">
      <c r="E941" s="8"/>
    </row>
    <row r="942" ht="12.75">
      <c r="E942" s="8"/>
    </row>
    <row r="943" ht="12.75">
      <c r="E943" s="8"/>
    </row>
    <row r="944" ht="12.75">
      <c r="E944" s="8"/>
    </row>
    <row r="945" ht="12.75">
      <c r="E945" s="8"/>
    </row>
    <row r="946" ht="12.75">
      <c r="E946" s="8"/>
    </row>
    <row r="947" ht="12.75">
      <c r="E947" s="8"/>
    </row>
    <row r="948" ht="12.75">
      <c r="E948" s="8"/>
    </row>
    <row r="949" ht="12.75">
      <c r="E949" s="8"/>
    </row>
    <row r="950" ht="12.75">
      <c r="E950" s="8"/>
    </row>
    <row r="951" ht="12.75">
      <c r="E951" s="8"/>
    </row>
    <row r="952" ht="12.75">
      <c r="E952" s="8"/>
    </row>
    <row r="953" ht="12.75">
      <c r="E953" s="8"/>
    </row>
    <row r="954" ht="12.75">
      <c r="E954" s="8"/>
    </row>
    <row r="955" ht="12.75">
      <c r="E955" s="8"/>
    </row>
    <row r="956" ht="12.75">
      <c r="E956" s="8"/>
    </row>
    <row r="957" ht="12.75">
      <c r="E957" s="8"/>
    </row>
    <row r="958" ht="12.75">
      <c r="E958" s="8"/>
    </row>
    <row r="959" ht="12.75">
      <c r="E959" s="8"/>
    </row>
    <row r="960" ht="12.75">
      <c r="E960" s="8"/>
    </row>
    <row r="961" ht="12.75">
      <c r="E961" s="8"/>
    </row>
    <row r="962" ht="12.75">
      <c r="E962" s="8"/>
    </row>
    <row r="963" ht="12.75">
      <c r="E963" s="8"/>
    </row>
    <row r="964" ht="12.75">
      <c r="E964" s="8"/>
    </row>
    <row r="965" ht="12.75">
      <c r="E965" s="8"/>
    </row>
    <row r="966" ht="12.75">
      <c r="E966" s="8"/>
    </row>
    <row r="967" ht="12.75">
      <c r="E967" s="8"/>
    </row>
    <row r="968" ht="12.75">
      <c r="E968" s="8"/>
    </row>
    <row r="969" ht="12.75">
      <c r="E969" s="8"/>
    </row>
    <row r="970" ht="12.75">
      <c r="E970" s="8"/>
    </row>
    <row r="971" ht="12.75">
      <c r="E971" s="8"/>
    </row>
    <row r="972" ht="12.75">
      <c r="E972" s="8"/>
    </row>
    <row r="973" ht="12.75">
      <c r="E973" s="8"/>
    </row>
    <row r="974" ht="12.75">
      <c r="E974" s="8"/>
    </row>
    <row r="975" ht="12.75">
      <c r="E975" s="8"/>
    </row>
    <row r="976" ht="12.75">
      <c r="E976" s="8"/>
    </row>
    <row r="977" ht="12.75">
      <c r="E977" s="8"/>
    </row>
    <row r="978" ht="12.75">
      <c r="E978" s="8"/>
    </row>
    <row r="979" ht="12.75">
      <c r="E979" s="8"/>
    </row>
    <row r="980" ht="12.75">
      <c r="E980" s="8"/>
    </row>
    <row r="981" ht="12.75">
      <c r="E981" s="8"/>
    </row>
    <row r="982" ht="12.75">
      <c r="E982" s="8"/>
    </row>
    <row r="983" ht="12.75">
      <c r="E983" s="8"/>
    </row>
    <row r="984" ht="12.75">
      <c r="E984" s="8"/>
    </row>
    <row r="985" ht="12.75">
      <c r="E985" s="8"/>
    </row>
    <row r="986" ht="12.75">
      <c r="E986" s="8"/>
    </row>
    <row r="987" ht="12.75">
      <c r="E987" s="8"/>
    </row>
    <row r="988" ht="12.75">
      <c r="E988" s="8"/>
    </row>
    <row r="989" ht="12.75">
      <c r="E989" s="8"/>
    </row>
    <row r="990" ht="12.75">
      <c r="E990" s="8"/>
    </row>
    <row r="991" ht="12.75">
      <c r="E991" s="8"/>
    </row>
    <row r="992" ht="12.75">
      <c r="E992" s="8"/>
    </row>
    <row r="993" ht="12.75">
      <c r="E993" s="8"/>
    </row>
    <row r="994" ht="12.75">
      <c r="E994" s="8"/>
    </row>
    <row r="995" ht="12.75">
      <c r="E995" s="8"/>
    </row>
    <row r="996" ht="12.75">
      <c r="E996" s="8"/>
    </row>
    <row r="997" ht="12.75">
      <c r="E997" s="8"/>
    </row>
    <row r="998" ht="12.75">
      <c r="E998" s="8"/>
    </row>
    <row r="999" ht="12.75">
      <c r="E999" s="8"/>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selection activeCell="A1" activeCellId="0" sqref="A1"/>
    </sheetView>
  </sheetViews>
  <sheetFormatPr baseColWidth="10" defaultColWidth="12.5703125" defaultRowHeight="15.75" customHeight="1"/>
  <cols>
    <col customWidth="1" min="1" max="1" width="39.85546875"/>
    <col customWidth="1" min="2" max="2" width="20.85546875"/>
    <col customWidth="1" min="3" max="4" width="38.5703125"/>
    <col customWidth="1" min="5" max="5" width="31.140625"/>
    <col customWidth="1" min="6" max="6" width="41.85546875"/>
    <col customWidth="1" min="7" max="7" width="29.85546875"/>
    <col customWidth="1" min="8" max="8" width="73.5703125"/>
  </cols>
  <sheetData>
    <row r="1" ht="12.75">
      <c r="A1" s="90" t="str">
        <f>Classes!A1</f>
        <v xml:space="preserve">URI de l'ontologie</v>
      </c>
      <c r="B1" s="5" t="str">
        <f>Classes!B1</f>
        <v>http://data.esante.gouv.fr/ansm/medicament</v>
      </c>
      <c r="G1" s="8"/>
    </row>
    <row r="2" ht="12.75">
      <c r="A2" s="8"/>
      <c r="G2" s="8"/>
    </row>
    <row r="3" ht="12.75">
      <c r="A3" s="8"/>
      <c r="G3" s="8"/>
    </row>
    <row r="4" ht="35.25" customHeight="1">
      <c r="A4" s="93" t="s">
        <v>780</v>
      </c>
      <c r="B4" s="93"/>
      <c r="C4" s="93"/>
      <c r="G4" s="8"/>
    </row>
    <row r="5" ht="12.75">
      <c r="A5" s="8"/>
      <c r="G5" s="8"/>
    </row>
    <row r="6" ht="12.75">
      <c r="A6" s="8"/>
      <c r="G6" s="8"/>
    </row>
    <row r="7" ht="12.75">
      <c r="A7" s="13" t="s">
        <v>34</v>
      </c>
      <c r="B7" s="12" t="s">
        <v>15</v>
      </c>
      <c r="C7" s="12" t="s">
        <v>781</v>
      </c>
      <c r="D7" s="12" t="s">
        <v>782</v>
      </c>
      <c r="E7" s="12" t="s">
        <v>783</v>
      </c>
      <c r="F7" s="12" t="s">
        <v>784</v>
      </c>
      <c r="G7" s="12" t="s">
        <v>785</v>
      </c>
      <c r="H7" s="13" t="s">
        <v>786</v>
      </c>
    </row>
    <row r="8" ht="89.25">
      <c r="A8" s="2" t="s">
        <v>787</v>
      </c>
      <c r="B8" s="2" t="s">
        <v>788</v>
      </c>
      <c r="C8" s="2" t="s">
        <v>255</v>
      </c>
      <c r="D8" s="2"/>
      <c r="E8" s="2" t="s">
        <v>789</v>
      </c>
      <c r="F8" s="2" t="s">
        <v>790</v>
      </c>
      <c r="G8" s="8" t="s">
        <v>791</v>
      </c>
      <c r="H8" s="8" t="s">
        <v>792</v>
      </c>
    </row>
    <row r="9" ht="127.5">
      <c r="A9" s="2" t="s">
        <v>793</v>
      </c>
      <c r="B9" s="2" t="s">
        <v>788</v>
      </c>
      <c r="C9" s="2" t="s">
        <v>794</v>
      </c>
      <c r="D9" s="2"/>
      <c r="E9" s="2" t="s">
        <v>795</v>
      </c>
      <c r="F9" s="2" t="s">
        <v>790</v>
      </c>
      <c r="G9" s="8" t="s">
        <v>796</v>
      </c>
      <c r="H9" s="8" t="s">
        <v>797</v>
      </c>
    </row>
    <row r="10" ht="12.75">
      <c r="A10" s="2"/>
      <c r="B10" s="2"/>
      <c r="C10" s="2"/>
      <c r="D10" s="2"/>
      <c r="E10" s="2"/>
      <c r="F10" s="8"/>
      <c r="G10" s="8"/>
      <c r="H10" s="94"/>
    </row>
    <row r="11" ht="12.75">
      <c r="F11" s="8"/>
      <c r="G11" s="8"/>
    </row>
    <row r="12" ht="12.75">
      <c r="F12" s="8"/>
      <c r="G12" s="8"/>
    </row>
    <row r="13" ht="12.75">
      <c r="F13" s="8"/>
      <c r="G13" s="8"/>
    </row>
    <row r="14" ht="12.75">
      <c r="F14" s="8"/>
      <c r="G14" s="8"/>
    </row>
    <row r="15" ht="12.75">
      <c r="F15" s="8"/>
      <c r="G15" s="8"/>
    </row>
    <row r="16" ht="12.75">
      <c r="F16" s="8"/>
      <c r="G16" s="8"/>
    </row>
    <row r="17" ht="12.75">
      <c r="F17" s="8"/>
      <c r="G17" s="8"/>
    </row>
    <row r="18" ht="12.75">
      <c r="G18" s="8"/>
    </row>
    <row r="19" ht="12.75">
      <c r="G19" s="8"/>
    </row>
    <row r="20" ht="12.75">
      <c r="G20" s="8"/>
    </row>
    <row r="21" ht="12.75">
      <c r="G21" s="8"/>
    </row>
    <row r="22" ht="12.75">
      <c r="G22" s="8"/>
    </row>
    <row r="23" ht="12.75">
      <c r="G23" s="8"/>
    </row>
    <row r="24" ht="12.75">
      <c r="G24" s="8"/>
    </row>
    <row r="25" ht="12.75">
      <c r="G25" s="8"/>
    </row>
    <row r="26" ht="12.75">
      <c r="G26" s="8"/>
    </row>
    <row r="27" ht="12.75">
      <c r="G27" s="8"/>
    </row>
    <row r="28" ht="12.75">
      <c r="G28" s="8"/>
    </row>
    <row r="29" ht="12.75">
      <c r="G29" s="8"/>
    </row>
    <row r="30" ht="12.75">
      <c r="G30" s="8"/>
    </row>
    <row r="31" ht="12.75">
      <c r="G31" s="8"/>
    </row>
    <row r="32" ht="12.75">
      <c r="G32" s="8"/>
    </row>
    <row r="33" ht="12.75">
      <c r="G33" s="8"/>
    </row>
    <row r="34" ht="12.75">
      <c r="G34" s="8"/>
    </row>
    <row r="35" ht="12.75">
      <c r="G35" s="8"/>
    </row>
    <row r="36" ht="12.75">
      <c r="G36" s="8"/>
    </row>
    <row r="37" ht="12.75">
      <c r="G37" s="8"/>
    </row>
    <row r="38" ht="12.75">
      <c r="G38" s="8"/>
    </row>
    <row r="39" ht="12.75">
      <c r="G39" s="8"/>
    </row>
    <row r="40" ht="12.75">
      <c r="G40" s="8"/>
    </row>
    <row r="41" ht="12.75">
      <c r="G41" s="8"/>
    </row>
    <row r="42" ht="12.75">
      <c r="G42" s="8"/>
    </row>
    <row r="43" ht="12.75">
      <c r="G43" s="8"/>
    </row>
    <row r="44" ht="12.75">
      <c r="G44" s="8"/>
    </row>
    <row r="45" ht="12.75">
      <c r="G45" s="8"/>
    </row>
    <row r="46" ht="12.75">
      <c r="G46" s="8"/>
    </row>
    <row r="47" ht="12.75">
      <c r="G47" s="8"/>
    </row>
    <row r="48" ht="12.75">
      <c r="G48" s="8"/>
    </row>
    <row r="49" ht="12.75">
      <c r="G49" s="8"/>
    </row>
    <row r="50" ht="12.75">
      <c r="G50" s="8"/>
    </row>
    <row r="51" ht="12.75">
      <c r="G51" s="8"/>
    </row>
    <row r="52" ht="12.75">
      <c r="G52" s="8"/>
    </row>
    <row r="53" ht="12.75">
      <c r="G53" s="8"/>
    </row>
    <row r="54" ht="12.75">
      <c r="G54" s="8"/>
    </row>
    <row r="55" ht="12.75">
      <c r="G55" s="8"/>
    </row>
    <row r="56" ht="12.75">
      <c r="G56" s="8"/>
    </row>
    <row r="57" ht="12.75">
      <c r="G57" s="8"/>
    </row>
    <row r="58" ht="12.75">
      <c r="G58" s="8"/>
    </row>
    <row r="59" ht="12.75">
      <c r="G59" s="8"/>
    </row>
    <row r="60" ht="12.75">
      <c r="G60" s="8"/>
    </row>
    <row r="61" ht="12.75">
      <c r="G61" s="8"/>
    </row>
    <row r="62" ht="12.75">
      <c r="G62" s="8"/>
    </row>
    <row r="63" ht="12.75">
      <c r="G63" s="8"/>
    </row>
    <row r="64" ht="12.75">
      <c r="G64" s="8"/>
    </row>
    <row r="65" ht="12.75">
      <c r="G65" s="8"/>
    </row>
    <row r="66" ht="12.75">
      <c r="G66" s="8"/>
    </row>
    <row r="67" ht="12.75">
      <c r="G67" s="8"/>
    </row>
    <row r="68" ht="12.75">
      <c r="G68" s="8"/>
    </row>
    <row r="69" ht="12.75">
      <c r="G69" s="8"/>
    </row>
    <row r="70" ht="12.75">
      <c r="G70" s="8"/>
    </row>
    <row r="71" ht="12.75">
      <c r="G71" s="8"/>
    </row>
    <row r="72" ht="12.75">
      <c r="G72" s="8"/>
    </row>
    <row r="73" ht="12.75">
      <c r="G73" s="8"/>
    </row>
    <row r="74" ht="12.75">
      <c r="G74" s="8"/>
    </row>
    <row r="75" ht="12.75">
      <c r="G75" s="8"/>
    </row>
    <row r="76" ht="12.75">
      <c r="G76" s="8"/>
    </row>
    <row r="77" ht="12.75">
      <c r="G77" s="8"/>
    </row>
    <row r="78" ht="12.75">
      <c r="G78" s="8"/>
    </row>
    <row r="79" ht="12.75">
      <c r="G79" s="8"/>
    </row>
    <row r="80" ht="12.75">
      <c r="G80" s="8"/>
    </row>
    <row r="81" ht="12.75">
      <c r="G81" s="8"/>
    </row>
    <row r="82" ht="12.75">
      <c r="G82" s="8"/>
    </row>
    <row r="83" ht="12.75">
      <c r="G83" s="8"/>
    </row>
    <row r="84" ht="12.75">
      <c r="G84" s="8"/>
    </row>
    <row r="85" ht="12.75">
      <c r="G85" s="8"/>
    </row>
    <row r="86" ht="12.75">
      <c r="G86" s="8"/>
    </row>
    <row r="87" ht="12.75">
      <c r="G87" s="8"/>
    </row>
    <row r="88" ht="12.75">
      <c r="G88" s="8"/>
    </row>
    <row r="89" ht="12.75">
      <c r="G89" s="8"/>
    </row>
    <row r="90" ht="12.75">
      <c r="G90" s="8"/>
    </row>
    <row r="91" ht="12.75">
      <c r="G91" s="8"/>
    </row>
    <row r="92" ht="12.75">
      <c r="G92" s="8"/>
    </row>
    <row r="93" ht="12.75">
      <c r="G93" s="8"/>
    </row>
    <row r="94" ht="12.75">
      <c r="G94" s="8"/>
    </row>
    <row r="95" ht="12.75">
      <c r="G95" s="8"/>
    </row>
    <row r="96" ht="12.75">
      <c r="G96" s="8"/>
    </row>
    <row r="97" ht="12.75">
      <c r="G97" s="8"/>
    </row>
    <row r="98" ht="12.75">
      <c r="G98" s="8"/>
    </row>
    <row r="99" ht="12.75">
      <c r="G99" s="8"/>
    </row>
    <row r="100" ht="12.75">
      <c r="G100" s="8"/>
    </row>
    <row r="101" ht="12.75">
      <c r="G101" s="8"/>
    </row>
    <row r="102" ht="12.75">
      <c r="G102" s="8"/>
    </row>
    <row r="103" ht="12.75">
      <c r="G103" s="8"/>
    </row>
    <row r="104" ht="12.75">
      <c r="G104" s="8"/>
    </row>
    <row r="105" ht="12.75">
      <c r="G105" s="8"/>
    </row>
    <row r="106" ht="12.75">
      <c r="G106" s="8"/>
    </row>
    <row r="107" ht="12.75">
      <c r="G107" s="8"/>
    </row>
    <row r="108" ht="12.75">
      <c r="G108" s="8"/>
    </row>
    <row r="109" ht="12.75">
      <c r="G109" s="8"/>
    </row>
    <row r="110" ht="12.75">
      <c r="G110" s="8"/>
    </row>
    <row r="111" ht="12.75">
      <c r="G111" s="8"/>
    </row>
    <row r="112" ht="12.75">
      <c r="G112" s="8"/>
    </row>
    <row r="113" ht="12.75">
      <c r="G113" s="8"/>
    </row>
    <row r="114" ht="12.75">
      <c r="G114" s="8"/>
    </row>
    <row r="115" ht="12.75">
      <c r="G115" s="8"/>
    </row>
    <row r="116" ht="12.75">
      <c r="G116" s="8"/>
    </row>
    <row r="117" ht="12.75">
      <c r="G117" s="8"/>
    </row>
    <row r="118" ht="12.75">
      <c r="G118" s="8"/>
    </row>
    <row r="119" ht="12.75">
      <c r="G119" s="8"/>
    </row>
    <row r="120" ht="12.75">
      <c r="G120" s="8"/>
    </row>
    <row r="121" ht="12.75">
      <c r="G121" s="8"/>
    </row>
    <row r="122" ht="12.75">
      <c r="G122" s="8"/>
    </row>
    <row r="123" ht="12.75">
      <c r="G123" s="8"/>
    </row>
    <row r="124" ht="12.75">
      <c r="G124" s="8"/>
    </row>
    <row r="125" ht="12.75">
      <c r="G125" s="8"/>
    </row>
    <row r="126" ht="12.75">
      <c r="G126" s="8"/>
    </row>
    <row r="127" ht="12.75">
      <c r="G127" s="8"/>
    </row>
    <row r="128" ht="12.75">
      <c r="G128" s="8"/>
    </row>
    <row r="129" ht="12.75">
      <c r="G129" s="8"/>
    </row>
    <row r="130" ht="12.75">
      <c r="G130" s="8"/>
    </row>
    <row r="131" ht="12.75">
      <c r="G131" s="8"/>
    </row>
    <row r="132" ht="12.75">
      <c r="G132" s="8"/>
    </row>
    <row r="133" ht="12.75">
      <c r="G133" s="8"/>
    </row>
    <row r="134" ht="12.75">
      <c r="G134" s="8"/>
    </row>
    <row r="135" ht="12.75">
      <c r="G135" s="8"/>
    </row>
    <row r="136" ht="12.75">
      <c r="G136" s="8"/>
    </row>
    <row r="137" ht="12.75">
      <c r="G137" s="8"/>
    </row>
    <row r="138" ht="12.75">
      <c r="G138" s="8"/>
    </row>
    <row r="139" ht="12.75">
      <c r="G139" s="8"/>
    </row>
    <row r="140" ht="12.75">
      <c r="G140" s="8"/>
    </row>
    <row r="141" ht="12.75">
      <c r="G141" s="8"/>
    </row>
    <row r="142" ht="12.75">
      <c r="G142" s="8"/>
    </row>
    <row r="143" ht="12.75">
      <c r="G143" s="8"/>
    </row>
    <row r="144" ht="12.75">
      <c r="G144" s="8"/>
    </row>
    <row r="145" ht="12.75">
      <c r="G145" s="8"/>
    </row>
    <row r="146" ht="12.75">
      <c r="G146" s="8"/>
    </row>
    <row r="147" ht="12.75">
      <c r="G147" s="8"/>
    </row>
    <row r="148" ht="12.75">
      <c r="G148" s="8"/>
    </row>
    <row r="149" ht="12.75">
      <c r="G149" s="8"/>
    </row>
    <row r="150" ht="12.75">
      <c r="G150" s="8"/>
    </row>
    <row r="151" ht="12.75">
      <c r="G151" s="8"/>
    </row>
    <row r="152" ht="12.75">
      <c r="G152" s="8"/>
    </row>
    <row r="153" ht="12.75">
      <c r="G153" s="8"/>
    </row>
    <row r="154" ht="12.75">
      <c r="G154" s="8"/>
    </row>
    <row r="155" ht="12.75">
      <c r="G155" s="8"/>
    </row>
    <row r="156" ht="12.75">
      <c r="G156" s="8"/>
    </row>
    <row r="157" ht="12.75">
      <c r="G157" s="8"/>
    </row>
    <row r="158" ht="12.75">
      <c r="G158" s="8"/>
    </row>
    <row r="159" ht="12.75">
      <c r="G159" s="8"/>
    </row>
    <row r="160" ht="12.75">
      <c r="G160" s="8"/>
    </row>
    <row r="161" ht="12.75">
      <c r="G161" s="8"/>
    </row>
    <row r="162" ht="12.75">
      <c r="G162" s="8"/>
    </row>
    <row r="163" ht="12.75">
      <c r="G163" s="8"/>
    </row>
    <row r="164" ht="12.75">
      <c r="G164" s="8"/>
    </row>
    <row r="165" ht="12.75">
      <c r="G165" s="8"/>
    </row>
    <row r="166" ht="12.75">
      <c r="G166" s="8"/>
    </row>
    <row r="167" ht="12.75">
      <c r="G167" s="8"/>
    </row>
    <row r="168" ht="12.75">
      <c r="G168" s="8"/>
    </row>
    <row r="169" ht="12.75">
      <c r="G169" s="8"/>
    </row>
    <row r="170" ht="12.75">
      <c r="G170" s="8"/>
    </row>
    <row r="171" ht="12.75">
      <c r="G171" s="8"/>
    </row>
    <row r="172" ht="12.75">
      <c r="G172" s="8"/>
    </row>
    <row r="173" ht="12.75">
      <c r="G173" s="8"/>
    </row>
    <row r="174" ht="12.75">
      <c r="G174" s="8"/>
    </row>
    <row r="175" ht="12.75">
      <c r="G175" s="8"/>
    </row>
    <row r="176" ht="12.75">
      <c r="G176" s="8"/>
    </row>
    <row r="177" ht="12.75">
      <c r="G177" s="8"/>
    </row>
    <row r="178" ht="12.75">
      <c r="G178" s="8"/>
    </row>
    <row r="179" ht="12.75">
      <c r="G179" s="8"/>
    </row>
    <row r="180" ht="12.75">
      <c r="G180" s="8"/>
    </row>
    <row r="181" ht="12.75">
      <c r="G181" s="8"/>
    </row>
    <row r="182" ht="12.75">
      <c r="G182" s="8"/>
    </row>
    <row r="183" ht="12.75">
      <c r="G183" s="8"/>
    </row>
    <row r="184" ht="12.75">
      <c r="G184" s="8"/>
    </row>
    <row r="185" ht="12.75">
      <c r="G185" s="8"/>
    </row>
    <row r="186" ht="12.75">
      <c r="G186" s="8"/>
    </row>
    <row r="187" ht="12.75">
      <c r="G187" s="8"/>
    </row>
    <row r="188" ht="12.75">
      <c r="G188" s="8"/>
    </row>
    <row r="189" ht="12.75">
      <c r="G189" s="8"/>
    </row>
    <row r="190" ht="12.75">
      <c r="G190" s="8"/>
    </row>
    <row r="191" ht="12.75">
      <c r="G191" s="8"/>
    </row>
    <row r="192" ht="12.75">
      <c r="G192" s="8"/>
    </row>
    <row r="193" ht="12.75">
      <c r="G193" s="8"/>
    </row>
    <row r="194" ht="12.75">
      <c r="G194" s="8"/>
    </row>
    <row r="195" ht="12.75">
      <c r="G195" s="8"/>
    </row>
    <row r="196" ht="12.75">
      <c r="G196" s="8"/>
    </row>
    <row r="197" ht="12.75">
      <c r="G197" s="8"/>
    </row>
    <row r="198" ht="12.75">
      <c r="G198" s="8"/>
    </row>
    <row r="199" ht="12.75">
      <c r="G199" s="8"/>
    </row>
    <row r="200" ht="12.75">
      <c r="G200" s="8"/>
    </row>
    <row r="201" ht="12.75">
      <c r="G201" s="8"/>
    </row>
    <row r="202" ht="12.75">
      <c r="G202" s="8"/>
    </row>
    <row r="203" ht="12.75">
      <c r="G203" s="8"/>
    </row>
    <row r="204" ht="12.75">
      <c r="G204" s="8"/>
    </row>
    <row r="205" ht="12.75">
      <c r="G205" s="8"/>
    </row>
    <row r="206" ht="12.75">
      <c r="G206" s="8"/>
    </row>
    <row r="207" ht="12.75">
      <c r="G207" s="8"/>
    </row>
    <row r="208" ht="12.75">
      <c r="G208" s="8"/>
    </row>
    <row r="209" ht="12.75">
      <c r="G209" s="8"/>
    </row>
    <row r="210" ht="12.75">
      <c r="G210" s="8"/>
    </row>
    <row r="211" ht="12.75">
      <c r="G211" s="8"/>
    </row>
    <row r="212" ht="12.75">
      <c r="G212" s="8"/>
    </row>
    <row r="213" ht="12.75">
      <c r="G213" s="8"/>
    </row>
    <row r="214" ht="12.75">
      <c r="G214" s="8"/>
    </row>
    <row r="215" ht="12.75">
      <c r="G215" s="8"/>
    </row>
    <row r="216" ht="12.75">
      <c r="G216" s="8"/>
    </row>
    <row r="217" ht="12.75">
      <c r="G217" s="8"/>
    </row>
    <row r="218" ht="12.75">
      <c r="G218" s="8"/>
    </row>
    <row r="219" ht="12.75">
      <c r="G219" s="8"/>
    </row>
    <row r="220" ht="12.75">
      <c r="G220" s="8"/>
    </row>
    <row r="221" ht="12.75">
      <c r="G221" s="8"/>
    </row>
    <row r="222" ht="12.75">
      <c r="G222" s="8"/>
    </row>
    <row r="223" ht="12.75">
      <c r="G223" s="8"/>
    </row>
    <row r="224" ht="12.75">
      <c r="G224" s="8"/>
    </row>
    <row r="225" ht="12.75">
      <c r="G225" s="8"/>
    </row>
    <row r="226" ht="12.75">
      <c r="G226" s="8"/>
    </row>
    <row r="227" ht="12.75">
      <c r="G227" s="8"/>
    </row>
    <row r="228" ht="12.75">
      <c r="G228" s="8"/>
    </row>
    <row r="229" ht="12.75">
      <c r="G229" s="8"/>
    </row>
    <row r="230" ht="12.75">
      <c r="G230" s="8"/>
    </row>
    <row r="231" ht="12.75">
      <c r="G231" s="8"/>
    </row>
    <row r="232" ht="12.75">
      <c r="G232" s="8"/>
    </row>
    <row r="233" ht="12.75">
      <c r="G233" s="8"/>
    </row>
    <row r="234" ht="12.75">
      <c r="G234" s="8"/>
    </row>
    <row r="235" ht="12.75">
      <c r="G235" s="8"/>
    </row>
    <row r="236" ht="12.75">
      <c r="G236" s="8"/>
    </row>
    <row r="237" ht="12.75">
      <c r="G237" s="8"/>
    </row>
    <row r="238" ht="12.75">
      <c r="G238" s="8"/>
    </row>
    <row r="239" ht="12.75">
      <c r="G239" s="8"/>
    </row>
    <row r="240" ht="12.75">
      <c r="G240" s="8"/>
    </row>
    <row r="241" ht="12.75">
      <c r="G241" s="8"/>
    </row>
    <row r="242" ht="12.75">
      <c r="G242" s="8"/>
    </row>
    <row r="243" ht="12.75">
      <c r="G243" s="8"/>
    </row>
    <row r="244" ht="12.75">
      <c r="G244" s="8"/>
    </row>
    <row r="245" ht="12.75">
      <c r="G245" s="8"/>
    </row>
    <row r="246" ht="12.75">
      <c r="G246" s="8"/>
    </row>
    <row r="247" ht="12.75">
      <c r="G247" s="8"/>
    </row>
    <row r="248" ht="12.75">
      <c r="G248" s="8"/>
    </row>
    <row r="249" ht="12.75">
      <c r="G249" s="8"/>
    </row>
    <row r="250" ht="12.75">
      <c r="G250" s="8"/>
    </row>
    <row r="251" ht="12.75">
      <c r="G251" s="8"/>
    </row>
    <row r="252" ht="12.75">
      <c r="G252" s="8"/>
    </row>
    <row r="253" ht="12.75">
      <c r="G253" s="8"/>
    </row>
    <row r="254" ht="12.75">
      <c r="G254" s="8"/>
    </row>
    <row r="255" ht="12.75">
      <c r="G255" s="8"/>
    </row>
    <row r="256" ht="12.75">
      <c r="G256" s="8"/>
    </row>
    <row r="257" ht="12.75">
      <c r="G257" s="8"/>
    </row>
    <row r="258" ht="12.75">
      <c r="G258" s="8"/>
    </row>
    <row r="259" ht="12.75">
      <c r="G259" s="8"/>
    </row>
    <row r="260" ht="12.75">
      <c r="G260" s="8"/>
    </row>
    <row r="261" ht="12.75">
      <c r="G261" s="8"/>
    </row>
    <row r="262" ht="12.75">
      <c r="G262" s="8"/>
    </row>
    <row r="263" ht="12.75">
      <c r="G263" s="8"/>
    </row>
    <row r="264" ht="12.75">
      <c r="G264" s="8"/>
    </row>
    <row r="265" ht="12.75">
      <c r="G265" s="8"/>
    </row>
    <row r="266" ht="12.75">
      <c r="G266" s="8"/>
    </row>
    <row r="267" ht="12.75">
      <c r="G267" s="8"/>
    </row>
    <row r="268" ht="12.75">
      <c r="G268" s="8"/>
    </row>
    <row r="269" ht="12.75">
      <c r="G269" s="8"/>
    </row>
    <row r="270" ht="12.75">
      <c r="G270" s="8"/>
    </row>
    <row r="271" ht="12.75">
      <c r="G271" s="8"/>
    </row>
    <row r="272" ht="12.75">
      <c r="G272" s="8"/>
    </row>
    <row r="273" ht="12.75">
      <c r="G273" s="8"/>
    </row>
    <row r="274" ht="12.75">
      <c r="G274" s="8"/>
    </row>
    <row r="275" ht="12.75">
      <c r="G275" s="8"/>
    </row>
    <row r="276" ht="12.75">
      <c r="G276" s="8"/>
    </row>
    <row r="277" ht="12.75">
      <c r="G277" s="8"/>
    </row>
    <row r="278" ht="12.75">
      <c r="G278" s="8"/>
    </row>
    <row r="279" ht="12.75">
      <c r="G279" s="8"/>
    </row>
    <row r="280" ht="12.75">
      <c r="G280" s="8"/>
    </row>
    <row r="281" ht="12.75">
      <c r="G281" s="8"/>
    </row>
    <row r="282" ht="12.75">
      <c r="G282" s="8"/>
    </row>
    <row r="283" ht="12.75">
      <c r="G283" s="8"/>
    </row>
    <row r="284" ht="12.75">
      <c r="G284" s="8"/>
    </row>
    <row r="285" ht="12.75">
      <c r="G285" s="8"/>
    </row>
    <row r="286" ht="12.75">
      <c r="G286" s="8"/>
    </row>
    <row r="287" ht="12.75">
      <c r="G287" s="8"/>
    </row>
    <row r="288" ht="12.75">
      <c r="G288" s="8"/>
    </row>
    <row r="289" ht="12.75">
      <c r="G289" s="8"/>
    </row>
    <row r="290" ht="12.75">
      <c r="G290" s="8"/>
    </row>
    <row r="291" ht="12.75">
      <c r="G291" s="8"/>
    </row>
    <row r="292" ht="12.75">
      <c r="G292" s="8"/>
    </row>
    <row r="293" ht="12.75">
      <c r="G293" s="8"/>
    </row>
    <row r="294" ht="12.75">
      <c r="G294" s="8"/>
    </row>
    <row r="295" ht="12.75">
      <c r="G295" s="8"/>
    </row>
    <row r="296" ht="12.75">
      <c r="G296" s="8"/>
    </row>
    <row r="297" ht="12.75">
      <c r="G297" s="8"/>
    </row>
    <row r="298" ht="12.75">
      <c r="G298" s="8"/>
    </row>
    <row r="299" ht="12.75">
      <c r="G299" s="8"/>
    </row>
    <row r="300" ht="12.75">
      <c r="G300" s="8"/>
    </row>
    <row r="301" ht="12.75">
      <c r="G301" s="8"/>
    </row>
    <row r="302" ht="12.75">
      <c r="G302" s="8"/>
    </row>
    <row r="303" ht="12.75">
      <c r="G303" s="8"/>
    </row>
    <row r="304" ht="12.75">
      <c r="G304" s="8"/>
    </row>
    <row r="305" ht="12.75">
      <c r="G305" s="8"/>
    </row>
    <row r="306" ht="12.75">
      <c r="G306" s="8"/>
    </row>
    <row r="307" ht="12.75">
      <c r="G307" s="8"/>
    </row>
    <row r="308" ht="12.75">
      <c r="G308" s="8"/>
    </row>
    <row r="309" ht="12.75">
      <c r="G309" s="8"/>
    </row>
    <row r="310" ht="12.75">
      <c r="G310" s="8"/>
    </row>
    <row r="311" ht="12.75">
      <c r="G311" s="8"/>
    </row>
    <row r="312" ht="12.75">
      <c r="G312" s="8"/>
    </row>
    <row r="313" ht="12.75">
      <c r="G313" s="8"/>
    </row>
    <row r="314" ht="12.75">
      <c r="G314" s="8"/>
    </row>
    <row r="315" ht="12.75">
      <c r="G315" s="8"/>
    </row>
    <row r="316" ht="12.75">
      <c r="G316" s="8"/>
    </row>
    <row r="317" ht="12.75">
      <c r="G317" s="8"/>
    </row>
    <row r="318" ht="12.75">
      <c r="G318" s="8"/>
    </row>
    <row r="319" ht="12.75">
      <c r="G319" s="8"/>
    </row>
    <row r="320" ht="12.75">
      <c r="G320" s="8"/>
    </row>
    <row r="321" ht="12.75">
      <c r="G321" s="8"/>
    </row>
    <row r="322" ht="12.75">
      <c r="G322" s="8"/>
    </row>
    <row r="323" ht="12.75">
      <c r="G323" s="8"/>
    </row>
    <row r="324" ht="12.75">
      <c r="G324" s="8"/>
    </row>
    <row r="325" ht="12.75">
      <c r="G325" s="8"/>
    </row>
    <row r="326" ht="12.75">
      <c r="G326" s="8"/>
    </row>
    <row r="327" ht="12.75">
      <c r="G327" s="8"/>
    </row>
    <row r="328" ht="12.75">
      <c r="G328" s="8"/>
    </row>
    <row r="329" ht="12.75">
      <c r="G329" s="8"/>
    </row>
    <row r="330" ht="12.75">
      <c r="G330" s="8"/>
    </row>
    <row r="331" ht="12.75">
      <c r="G331" s="8"/>
    </row>
    <row r="332" ht="12.75">
      <c r="G332" s="8"/>
    </row>
    <row r="333" ht="12.75">
      <c r="G333" s="8"/>
    </row>
    <row r="334" ht="12.75">
      <c r="G334" s="8"/>
    </row>
    <row r="335" ht="12.75">
      <c r="G335" s="8"/>
    </row>
    <row r="336" ht="12.75">
      <c r="G336" s="8"/>
    </row>
    <row r="337" ht="12.75">
      <c r="G337" s="8"/>
    </row>
    <row r="338" ht="12.75">
      <c r="G338" s="8"/>
    </row>
    <row r="339" ht="12.75">
      <c r="G339" s="8"/>
    </row>
    <row r="340" ht="12.75">
      <c r="G340" s="8"/>
    </row>
    <row r="341" ht="12.75">
      <c r="G341" s="8"/>
    </row>
    <row r="342" ht="12.75">
      <c r="G342" s="8"/>
    </row>
    <row r="343" ht="12.75">
      <c r="G343" s="8"/>
    </row>
    <row r="344" ht="12.75">
      <c r="G344" s="8"/>
    </row>
    <row r="345" ht="12.75">
      <c r="G345" s="8"/>
    </row>
    <row r="346" ht="12.75">
      <c r="G346" s="8"/>
    </row>
    <row r="347" ht="12.75">
      <c r="G347" s="8"/>
    </row>
    <row r="348" ht="12.75">
      <c r="G348" s="8"/>
    </row>
    <row r="349" ht="12.75">
      <c r="G349" s="8"/>
    </row>
    <row r="350" ht="12.75">
      <c r="G350" s="8"/>
    </row>
    <row r="351" ht="12.75">
      <c r="G351" s="8"/>
    </row>
    <row r="352" ht="12.75">
      <c r="G352" s="8"/>
    </row>
    <row r="353" ht="12.75">
      <c r="G353" s="8"/>
    </row>
    <row r="354" ht="12.75">
      <c r="G354" s="8"/>
    </row>
    <row r="355" ht="12.75">
      <c r="G355" s="8"/>
    </row>
    <row r="356" ht="12.75">
      <c r="G356" s="8"/>
    </row>
    <row r="357" ht="12.75">
      <c r="G357" s="8"/>
    </row>
    <row r="358" ht="12.75">
      <c r="G358" s="8"/>
    </row>
    <row r="359" ht="12.75">
      <c r="G359" s="8"/>
    </row>
    <row r="360" ht="12.75">
      <c r="G360" s="8"/>
    </row>
    <row r="361" ht="12.75">
      <c r="G361" s="8"/>
    </row>
    <row r="362" ht="12.75">
      <c r="G362" s="8"/>
    </row>
    <row r="363" ht="12.75">
      <c r="G363" s="8"/>
    </row>
    <row r="364" ht="12.75">
      <c r="G364" s="8"/>
    </row>
    <row r="365" ht="12.75">
      <c r="G365" s="8"/>
    </row>
    <row r="366" ht="12.75">
      <c r="G366" s="8"/>
    </row>
    <row r="367" ht="12.75">
      <c r="G367" s="8"/>
    </row>
    <row r="368" ht="12.75">
      <c r="G368" s="8"/>
    </row>
    <row r="369" ht="12.75">
      <c r="G369" s="8"/>
    </row>
    <row r="370" ht="12.75">
      <c r="G370" s="8"/>
    </row>
    <row r="371" ht="12.75">
      <c r="G371" s="8"/>
    </row>
    <row r="372" ht="12.75">
      <c r="G372" s="8"/>
    </row>
    <row r="373" ht="12.75">
      <c r="G373" s="8"/>
    </row>
    <row r="374" ht="12.75">
      <c r="G374" s="8"/>
    </row>
    <row r="375" ht="12.75">
      <c r="G375" s="8"/>
    </row>
    <row r="376" ht="12.75">
      <c r="G376" s="8"/>
    </row>
    <row r="377" ht="12.75">
      <c r="G377" s="8"/>
    </row>
    <row r="378" ht="12.75">
      <c r="G378" s="8"/>
    </row>
    <row r="379" ht="12.75">
      <c r="G379" s="8"/>
    </row>
    <row r="380" ht="12.75">
      <c r="G380" s="8"/>
    </row>
    <row r="381" ht="12.75">
      <c r="G381" s="8"/>
    </row>
    <row r="382" ht="12.75">
      <c r="G382" s="8"/>
    </row>
    <row r="383" ht="12.75">
      <c r="G383" s="8"/>
    </row>
    <row r="384" ht="12.75">
      <c r="G384" s="8"/>
    </row>
    <row r="385" ht="12.75">
      <c r="G385" s="8"/>
    </row>
    <row r="386" ht="12.75">
      <c r="G386" s="8"/>
    </row>
    <row r="387" ht="12.75">
      <c r="G387" s="8"/>
    </row>
    <row r="388" ht="12.75">
      <c r="G388" s="8"/>
    </row>
    <row r="389" ht="12.75">
      <c r="G389" s="8"/>
    </row>
    <row r="390" ht="12.75">
      <c r="G390" s="8"/>
    </row>
    <row r="391" ht="12.75">
      <c r="G391" s="8"/>
    </row>
    <row r="392" ht="12.75">
      <c r="G392" s="8"/>
    </row>
    <row r="393" ht="12.75">
      <c r="G393" s="8"/>
    </row>
    <row r="394" ht="12.75">
      <c r="G394" s="8"/>
    </row>
    <row r="395" ht="12.75">
      <c r="G395" s="8"/>
    </row>
    <row r="396" ht="12.75">
      <c r="G396" s="8"/>
    </row>
    <row r="397" ht="12.75">
      <c r="G397" s="8"/>
    </row>
    <row r="398" ht="12.75">
      <c r="G398" s="8"/>
    </row>
    <row r="399" ht="12.75">
      <c r="G399" s="8"/>
    </row>
    <row r="400" ht="12.75">
      <c r="G400" s="8"/>
    </row>
    <row r="401" ht="12.75">
      <c r="G401" s="8"/>
    </row>
    <row r="402" ht="12.75">
      <c r="G402" s="8"/>
    </row>
    <row r="403" ht="12.75">
      <c r="G403" s="8"/>
    </row>
    <row r="404" ht="12.75">
      <c r="G404" s="8"/>
    </row>
    <row r="405" ht="12.75">
      <c r="G405" s="8"/>
    </row>
    <row r="406" ht="12.75">
      <c r="G406" s="8"/>
    </row>
    <row r="407" ht="12.75">
      <c r="G407" s="8"/>
    </row>
    <row r="408" ht="12.75">
      <c r="G408" s="8"/>
    </row>
    <row r="409" ht="12.75">
      <c r="G409" s="8"/>
    </row>
    <row r="410" ht="12.75">
      <c r="G410" s="8"/>
    </row>
    <row r="411" ht="12.75">
      <c r="G411" s="8"/>
    </row>
    <row r="412" ht="12.75">
      <c r="G412" s="8"/>
    </row>
    <row r="413" ht="12.75">
      <c r="G413" s="8"/>
    </row>
    <row r="414" ht="12.75">
      <c r="G414" s="8"/>
    </row>
    <row r="415" ht="12.75">
      <c r="G415" s="8"/>
    </row>
    <row r="416" ht="12.75">
      <c r="G416" s="8"/>
    </row>
    <row r="417" ht="12.75">
      <c r="G417" s="8"/>
    </row>
    <row r="418" ht="12.75">
      <c r="G418" s="8"/>
    </row>
    <row r="419" ht="12.75">
      <c r="G419" s="8"/>
    </row>
    <row r="420" ht="12.75">
      <c r="G420" s="8"/>
    </row>
    <row r="421" ht="12.75">
      <c r="G421" s="8"/>
    </row>
    <row r="422" ht="12.75">
      <c r="G422" s="8"/>
    </row>
    <row r="423" ht="12.75">
      <c r="G423" s="8"/>
    </row>
    <row r="424" ht="12.75">
      <c r="G424" s="8"/>
    </row>
    <row r="425" ht="12.75">
      <c r="G425" s="8"/>
    </row>
    <row r="426" ht="12.75">
      <c r="G426" s="8"/>
    </row>
    <row r="427" ht="12.75">
      <c r="G427" s="8"/>
    </row>
    <row r="428" ht="12.75">
      <c r="G428" s="8"/>
    </row>
    <row r="429" ht="12.75">
      <c r="G429" s="8"/>
    </row>
    <row r="430" ht="12.75">
      <c r="G430" s="8"/>
    </row>
    <row r="431" ht="12.75">
      <c r="G431" s="8"/>
    </row>
    <row r="432" ht="12.75">
      <c r="G432" s="8"/>
    </row>
    <row r="433" ht="12.75">
      <c r="G433" s="8"/>
    </row>
    <row r="434" ht="12.75">
      <c r="G434" s="8"/>
    </row>
    <row r="435" ht="12.75">
      <c r="G435" s="8"/>
    </row>
    <row r="436" ht="12.75">
      <c r="G436" s="8"/>
    </row>
    <row r="437" ht="12.75">
      <c r="G437" s="8"/>
    </row>
    <row r="438" ht="12.75">
      <c r="G438" s="8"/>
    </row>
    <row r="439" ht="12.75">
      <c r="G439" s="8"/>
    </row>
    <row r="440" ht="12.75">
      <c r="G440" s="8"/>
    </row>
    <row r="441" ht="12.75">
      <c r="G441" s="8"/>
    </row>
    <row r="442" ht="12.75">
      <c r="G442" s="8"/>
    </row>
    <row r="443" ht="12.75">
      <c r="G443" s="8"/>
    </row>
    <row r="444" ht="12.75">
      <c r="G444" s="8"/>
    </row>
    <row r="445" ht="12.75">
      <c r="G445" s="8"/>
    </row>
    <row r="446" ht="12.75">
      <c r="G446" s="8"/>
    </row>
    <row r="447" ht="12.75">
      <c r="G447" s="8"/>
    </row>
    <row r="448" ht="12.75">
      <c r="G448" s="8"/>
    </row>
    <row r="449" ht="12.75">
      <c r="G449" s="8"/>
    </row>
    <row r="450" ht="12.75">
      <c r="G450" s="8"/>
    </row>
    <row r="451" ht="12.75">
      <c r="G451" s="8"/>
    </row>
    <row r="452" ht="12.75">
      <c r="G452" s="8"/>
    </row>
    <row r="453" ht="12.75">
      <c r="G453" s="8"/>
    </row>
    <row r="454" ht="12.75">
      <c r="G454" s="8"/>
    </row>
    <row r="455" ht="12.75">
      <c r="G455" s="8"/>
    </row>
    <row r="456" ht="12.75">
      <c r="G456" s="8"/>
    </row>
    <row r="457" ht="12.75">
      <c r="G457" s="8"/>
    </row>
    <row r="458" ht="12.75">
      <c r="G458" s="8"/>
    </row>
    <row r="459" ht="12.75">
      <c r="G459" s="8"/>
    </row>
    <row r="460" ht="12.75">
      <c r="G460" s="8"/>
    </row>
    <row r="461" ht="12.75">
      <c r="G461" s="8"/>
    </row>
    <row r="462" ht="12.75">
      <c r="G462" s="8"/>
    </row>
    <row r="463" ht="12.75">
      <c r="G463" s="8"/>
    </row>
    <row r="464" ht="12.75">
      <c r="G464" s="8"/>
    </row>
    <row r="465" ht="12.75">
      <c r="G465" s="8"/>
    </row>
    <row r="466" ht="12.75">
      <c r="G466" s="8"/>
    </row>
    <row r="467" ht="12.75">
      <c r="G467" s="8"/>
    </row>
    <row r="468" ht="12.75">
      <c r="G468" s="8"/>
    </row>
    <row r="469" ht="12.75">
      <c r="G469" s="8"/>
    </row>
    <row r="470" ht="12.75">
      <c r="G470" s="8"/>
    </row>
    <row r="471" ht="12.75">
      <c r="G471" s="8"/>
    </row>
    <row r="472" ht="12.75">
      <c r="G472" s="8"/>
    </row>
    <row r="473" ht="12.75">
      <c r="G473" s="8"/>
    </row>
    <row r="474" ht="12.75">
      <c r="G474" s="8"/>
    </row>
    <row r="475" ht="12.75">
      <c r="G475" s="8"/>
    </row>
    <row r="476" ht="12.75">
      <c r="G476" s="8"/>
    </row>
    <row r="477" ht="12.75">
      <c r="G477" s="8"/>
    </row>
    <row r="478" ht="12.75">
      <c r="G478" s="8"/>
    </row>
    <row r="479" ht="12.75">
      <c r="G479" s="8"/>
    </row>
    <row r="480" ht="12.75">
      <c r="G480" s="8"/>
    </row>
    <row r="481" ht="12.75">
      <c r="G481" s="8"/>
    </row>
    <row r="482" ht="12.75">
      <c r="G482" s="8"/>
    </row>
    <row r="483" ht="12.75">
      <c r="G483" s="8"/>
    </row>
    <row r="484" ht="12.75">
      <c r="G484" s="8"/>
    </row>
    <row r="485" ht="12.75">
      <c r="G485" s="8"/>
    </row>
    <row r="486" ht="12.75">
      <c r="G486" s="8"/>
    </row>
    <row r="487" ht="12.75">
      <c r="G487" s="8"/>
    </row>
    <row r="488" ht="12.75">
      <c r="G488" s="8"/>
    </row>
    <row r="489" ht="12.75">
      <c r="G489" s="8"/>
    </row>
    <row r="490" ht="12.75">
      <c r="G490" s="8"/>
    </row>
    <row r="491" ht="12.75">
      <c r="G491" s="8"/>
    </row>
    <row r="492" ht="12.75">
      <c r="G492" s="8"/>
    </row>
    <row r="493" ht="12.75">
      <c r="G493" s="8"/>
    </row>
    <row r="494" ht="12.75">
      <c r="G494" s="8"/>
    </row>
    <row r="495" ht="12.75">
      <c r="G495" s="8"/>
    </row>
    <row r="496" ht="12.75">
      <c r="G496" s="8"/>
    </row>
    <row r="497" ht="12.75">
      <c r="G497" s="8"/>
    </row>
    <row r="498" ht="12.75">
      <c r="G498" s="8"/>
    </row>
    <row r="499" ht="12.75">
      <c r="G499" s="8"/>
    </row>
    <row r="500" ht="12.75">
      <c r="G500" s="8"/>
    </row>
    <row r="501" ht="12.75">
      <c r="G501" s="8"/>
    </row>
    <row r="502" ht="12.75">
      <c r="G502" s="8"/>
    </row>
    <row r="503" ht="12.75">
      <c r="G503" s="8"/>
    </row>
    <row r="504" ht="12.75">
      <c r="G504" s="8"/>
    </row>
    <row r="505" ht="12.75">
      <c r="G505" s="8"/>
    </row>
    <row r="506" ht="12.75">
      <c r="G506" s="8"/>
    </row>
    <row r="507" ht="12.75">
      <c r="G507" s="8"/>
    </row>
    <row r="508" ht="12.75">
      <c r="G508" s="8"/>
    </row>
    <row r="509" ht="12.75">
      <c r="G509" s="8"/>
    </row>
    <row r="510" ht="12.75">
      <c r="G510" s="8"/>
    </row>
    <row r="511" ht="12.75">
      <c r="G511" s="8"/>
    </row>
    <row r="512" ht="12.75">
      <c r="G512" s="8"/>
    </row>
    <row r="513" ht="12.75">
      <c r="G513" s="8"/>
    </row>
    <row r="514" ht="12.75">
      <c r="G514" s="8"/>
    </row>
    <row r="515" ht="12.75">
      <c r="G515" s="8"/>
    </row>
    <row r="516" ht="12.75">
      <c r="G516" s="8"/>
    </row>
    <row r="517" ht="12.75">
      <c r="G517" s="8"/>
    </row>
    <row r="518" ht="12.75">
      <c r="G518" s="8"/>
    </row>
    <row r="519" ht="12.75">
      <c r="G519" s="8"/>
    </row>
    <row r="520" ht="12.75">
      <c r="G520" s="8"/>
    </row>
    <row r="521" ht="12.75">
      <c r="G521" s="8"/>
    </row>
    <row r="522" ht="12.75">
      <c r="G522" s="8"/>
    </row>
    <row r="523" ht="12.75">
      <c r="G523" s="8"/>
    </row>
    <row r="524" ht="12.75">
      <c r="G524" s="8"/>
    </row>
    <row r="525" ht="12.75">
      <c r="G525" s="8"/>
    </row>
    <row r="526" ht="12.75">
      <c r="G526" s="8"/>
    </row>
    <row r="527" ht="12.75">
      <c r="G527" s="8"/>
    </row>
    <row r="528" ht="12.75">
      <c r="G528" s="8"/>
    </row>
    <row r="529" ht="12.75">
      <c r="G529" s="8"/>
    </row>
    <row r="530" ht="12.75">
      <c r="G530" s="8"/>
    </row>
    <row r="531" ht="12.75">
      <c r="G531" s="8"/>
    </row>
    <row r="532" ht="12.75">
      <c r="G532" s="8"/>
    </row>
    <row r="533" ht="12.75">
      <c r="G533" s="8"/>
    </row>
    <row r="534" ht="12.75">
      <c r="G534" s="8"/>
    </row>
    <row r="535" ht="12.75">
      <c r="G535" s="8"/>
    </row>
    <row r="536" ht="12.75">
      <c r="G536" s="8"/>
    </row>
    <row r="537" ht="12.75">
      <c r="G537" s="8"/>
    </row>
    <row r="538" ht="12.75">
      <c r="G538" s="8"/>
    </row>
    <row r="539" ht="12.75">
      <c r="G539" s="8"/>
    </row>
    <row r="540" ht="12.75">
      <c r="G540" s="8"/>
    </row>
    <row r="541" ht="12.75">
      <c r="G541" s="8"/>
    </row>
    <row r="542" ht="12.75">
      <c r="G542" s="8"/>
    </row>
    <row r="543" ht="12.75">
      <c r="G543" s="8"/>
    </row>
    <row r="544" ht="12.75">
      <c r="G544" s="8"/>
    </row>
    <row r="545" ht="12.75">
      <c r="G545" s="8"/>
    </row>
    <row r="546" ht="12.75">
      <c r="G546" s="8"/>
    </row>
    <row r="547" ht="12.75">
      <c r="G547" s="8"/>
    </row>
    <row r="548" ht="12.75">
      <c r="G548" s="8"/>
    </row>
    <row r="549" ht="12.75">
      <c r="G549" s="8"/>
    </row>
    <row r="550" ht="12.75">
      <c r="G550" s="8"/>
    </row>
    <row r="551" ht="12.75">
      <c r="G551" s="8"/>
    </row>
    <row r="552" ht="12.75">
      <c r="G552" s="8"/>
    </row>
    <row r="553" ht="12.75">
      <c r="G553" s="8"/>
    </row>
    <row r="554" ht="12.75">
      <c r="G554" s="8"/>
    </row>
    <row r="555" ht="12.75">
      <c r="G555" s="8"/>
    </row>
    <row r="556" ht="12.75">
      <c r="G556" s="8"/>
    </row>
    <row r="557" ht="12.75">
      <c r="G557" s="8"/>
    </row>
    <row r="558" ht="12.75">
      <c r="G558" s="8"/>
    </row>
    <row r="559" ht="12.75">
      <c r="G559" s="8"/>
    </row>
    <row r="560" ht="12.75">
      <c r="G560" s="8"/>
    </row>
    <row r="561" ht="12.75">
      <c r="G561" s="8"/>
    </row>
    <row r="562" ht="12.75">
      <c r="G562" s="8"/>
    </row>
    <row r="563" ht="12.75">
      <c r="G563" s="8"/>
    </row>
    <row r="564" ht="12.75">
      <c r="G564" s="8"/>
    </row>
    <row r="565" ht="12.75">
      <c r="G565" s="8"/>
    </row>
    <row r="566" ht="12.75">
      <c r="G566" s="8"/>
    </row>
    <row r="567" ht="12.75">
      <c r="G567" s="8"/>
    </row>
    <row r="568" ht="12.75">
      <c r="G568" s="8"/>
    </row>
    <row r="569" ht="12.75">
      <c r="G569" s="8"/>
    </row>
    <row r="570" ht="12.75">
      <c r="G570" s="8"/>
    </row>
    <row r="571" ht="12.75">
      <c r="G571" s="8"/>
    </row>
    <row r="572" ht="12.75">
      <c r="G572" s="8"/>
    </row>
    <row r="573" ht="12.75">
      <c r="G573" s="8"/>
    </row>
    <row r="574" ht="12.75">
      <c r="G574" s="8"/>
    </row>
    <row r="575" ht="12.75">
      <c r="G575" s="8"/>
    </row>
    <row r="576" ht="12.75">
      <c r="G576" s="8"/>
    </row>
    <row r="577" ht="12.75">
      <c r="G577" s="8"/>
    </row>
    <row r="578" ht="12.75">
      <c r="G578" s="8"/>
    </row>
    <row r="579" ht="12.75">
      <c r="G579" s="8"/>
    </row>
    <row r="580" ht="12.75">
      <c r="G580" s="8"/>
    </row>
    <row r="581" ht="12.75">
      <c r="G581" s="8"/>
    </row>
    <row r="582" ht="12.75">
      <c r="G582" s="8"/>
    </row>
    <row r="583" ht="12.75">
      <c r="G583" s="8"/>
    </row>
    <row r="584" ht="12.75">
      <c r="G584" s="8"/>
    </row>
    <row r="585" ht="12.75">
      <c r="G585" s="8"/>
    </row>
    <row r="586" ht="12.75">
      <c r="G586" s="8"/>
    </row>
    <row r="587" ht="12.75">
      <c r="G587" s="8"/>
    </row>
    <row r="588" ht="12.75">
      <c r="G588" s="8"/>
    </row>
    <row r="589" ht="12.75">
      <c r="G589" s="8"/>
    </row>
    <row r="590" ht="12.75">
      <c r="G590" s="8"/>
    </row>
    <row r="591" ht="12.75">
      <c r="G591" s="8"/>
    </row>
    <row r="592" ht="12.75">
      <c r="G592" s="8"/>
    </row>
    <row r="593" ht="12.75">
      <c r="G593" s="8"/>
    </row>
    <row r="594" ht="12.75">
      <c r="G594" s="8"/>
    </row>
    <row r="595" ht="12.75">
      <c r="G595" s="8"/>
    </row>
    <row r="596" ht="12.75">
      <c r="G596" s="8"/>
    </row>
    <row r="597" ht="12.75">
      <c r="G597" s="8"/>
    </row>
    <row r="598" ht="12.75">
      <c r="G598" s="8"/>
    </row>
    <row r="599" ht="12.75">
      <c r="G599" s="8"/>
    </row>
    <row r="600" ht="12.75">
      <c r="G600" s="8"/>
    </row>
    <row r="601" ht="12.75">
      <c r="G601" s="8"/>
    </row>
    <row r="602" ht="12.75">
      <c r="G602" s="8"/>
    </row>
    <row r="603" ht="12.75">
      <c r="G603" s="8"/>
    </row>
    <row r="604" ht="12.75">
      <c r="G604" s="8"/>
    </row>
    <row r="605" ht="12.75">
      <c r="G605" s="8"/>
    </row>
    <row r="606" ht="12.75">
      <c r="G606" s="8"/>
    </row>
    <row r="607" ht="12.75">
      <c r="G607" s="8"/>
    </row>
    <row r="608" ht="12.75">
      <c r="G608" s="8"/>
    </row>
    <row r="609" ht="12.75">
      <c r="G609" s="8"/>
    </row>
    <row r="610" ht="12.75">
      <c r="G610" s="8"/>
    </row>
    <row r="611" ht="12.75">
      <c r="G611" s="8"/>
    </row>
    <row r="612" ht="12.75">
      <c r="G612" s="8"/>
    </row>
    <row r="613" ht="12.75">
      <c r="G613" s="8"/>
    </row>
    <row r="614" ht="12.75">
      <c r="G614" s="8"/>
    </row>
    <row r="615" ht="12.75">
      <c r="G615" s="8"/>
    </row>
    <row r="616" ht="12.75">
      <c r="G616" s="8"/>
    </row>
    <row r="617" ht="12.75">
      <c r="G617" s="8"/>
    </row>
    <row r="618" ht="12.75">
      <c r="G618" s="8"/>
    </row>
    <row r="619" ht="12.75">
      <c r="G619" s="8"/>
    </row>
    <row r="620" ht="12.75">
      <c r="G620" s="8"/>
    </row>
    <row r="621" ht="12.75">
      <c r="G621" s="8"/>
    </row>
    <row r="622" ht="12.75">
      <c r="G622" s="8"/>
    </row>
    <row r="623" ht="12.75">
      <c r="G623" s="8"/>
    </row>
    <row r="624" ht="12.75">
      <c r="G624" s="8"/>
    </row>
    <row r="625" ht="12.75">
      <c r="G625" s="8"/>
    </row>
    <row r="626" ht="12.75">
      <c r="G626" s="8"/>
    </row>
    <row r="627" ht="12.75">
      <c r="G627" s="8"/>
    </row>
    <row r="628" ht="12.75">
      <c r="G628" s="8"/>
    </row>
    <row r="629" ht="12.75">
      <c r="G629" s="8"/>
    </row>
    <row r="630" ht="12.75">
      <c r="G630" s="8"/>
    </row>
    <row r="631" ht="12.75">
      <c r="G631" s="8"/>
    </row>
    <row r="632" ht="12.75">
      <c r="G632" s="8"/>
    </row>
    <row r="633" ht="12.75">
      <c r="G633" s="8"/>
    </row>
    <row r="634" ht="12.75">
      <c r="G634" s="8"/>
    </row>
    <row r="635" ht="12.75">
      <c r="G635" s="8"/>
    </row>
    <row r="636" ht="12.75">
      <c r="G636" s="8"/>
    </row>
    <row r="637" ht="12.75">
      <c r="G637" s="8"/>
    </row>
    <row r="638" ht="12.75">
      <c r="G638" s="8"/>
    </row>
    <row r="639" ht="12.75">
      <c r="G639" s="8"/>
    </row>
    <row r="640" ht="12.75">
      <c r="G640" s="8"/>
    </row>
    <row r="641" ht="12.75">
      <c r="G641" s="8"/>
    </row>
    <row r="642" ht="12.75">
      <c r="G642" s="8"/>
    </row>
    <row r="643" ht="12.75">
      <c r="G643" s="8"/>
    </row>
    <row r="644" ht="12.75">
      <c r="G644" s="8"/>
    </row>
    <row r="645" ht="12.75">
      <c r="G645" s="8"/>
    </row>
    <row r="646" ht="12.75">
      <c r="G646" s="8"/>
    </row>
    <row r="647" ht="12.75">
      <c r="G647" s="8"/>
    </row>
    <row r="648" ht="12.75">
      <c r="G648" s="8"/>
    </row>
    <row r="649" ht="12.75">
      <c r="G649" s="8"/>
    </row>
    <row r="650" ht="12.75">
      <c r="G650" s="8"/>
    </row>
    <row r="651" ht="12.75">
      <c r="G651" s="8"/>
    </row>
    <row r="652" ht="12.75">
      <c r="G652" s="8"/>
    </row>
    <row r="653" ht="12.75">
      <c r="G653" s="8"/>
    </row>
    <row r="654" ht="12.75">
      <c r="G654" s="8"/>
    </row>
    <row r="655" ht="12.75">
      <c r="G655" s="8"/>
    </row>
    <row r="656" ht="12.75">
      <c r="G656" s="8"/>
    </row>
    <row r="657" ht="12.75">
      <c r="G657" s="8"/>
    </row>
    <row r="658" ht="12.75">
      <c r="G658" s="8"/>
    </row>
    <row r="659" ht="12.75">
      <c r="G659" s="8"/>
    </row>
    <row r="660" ht="12.75">
      <c r="G660" s="8"/>
    </row>
    <row r="661" ht="12.75">
      <c r="G661" s="8"/>
    </row>
    <row r="662" ht="12.75">
      <c r="G662" s="8"/>
    </row>
    <row r="663" ht="12.75">
      <c r="G663" s="8"/>
    </row>
    <row r="664" ht="12.75">
      <c r="G664" s="8"/>
    </row>
    <row r="665" ht="12.75">
      <c r="G665" s="8"/>
    </row>
    <row r="666" ht="12.75">
      <c r="G666" s="8"/>
    </row>
    <row r="667" ht="12.75">
      <c r="G667" s="8"/>
    </row>
    <row r="668" ht="12.75">
      <c r="G668" s="8"/>
    </row>
    <row r="669" ht="12.75">
      <c r="G669" s="8"/>
    </row>
    <row r="670" ht="12.75">
      <c r="G670" s="8"/>
    </row>
    <row r="671" ht="12.75">
      <c r="G671" s="8"/>
    </row>
    <row r="672" ht="12.75">
      <c r="G672" s="8"/>
    </row>
    <row r="673" ht="12.75">
      <c r="G673" s="8"/>
    </row>
    <row r="674" ht="12.75">
      <c r="G674" s="8"/>
    </row>
    <row r="675" ht="12.75">
      <c r="G675" s="8"/>
    </row>
    <row r="676" ht="12.75">
      <c r="G676" s="8"/>
    </row>
    <row r="677" ht="12.75">
      <c r="G677" s="8"/>
    </row>
    <row r="678" ht="12.75">
      <c r="G678" s="8"/>
    </row>
    <row r="679" ht="12.75">
      <c r="G679" s="8"/>
    </row>
    <row r="680" ht="12.75">
      <c r="G680" s="8"/>
    </row>
    <row r="681" ht="12.75">
      <c r="G681" s="8"/>
    </row>
    <row r="682" ht="12.75">
      <c r="G682" s="8"/>
    </row>
    <row r="683" ht="12.75">
      <c r="G683" s="8"/>
    </row>
    <row r="684" ht="12.75">
      <c r="G684" s="8"/>
    </row>
    <row r="685" ht="12.75">
      <c r="G685" s="8"/>
    </row>
    <row r="686" ht="12.75">
      <c r="G686" s="8"/>
    </row>
    <row r="687" ht="12.75">
      <c r="G687" s="8"/>
    </row>
    <row r="688" ht="12.75">
      <c r="G688" s="8"/>
    </row>
    <row r="689" ht="12.75">
      <c r="G689" s="8"/>
    </row>
    <row r="690" ht="12.75">
      <c r="G690" s="8"/>
    </row>
    <row r="691" ht="12.75">
      <c r="G691" s="8"/>
    </row>
    <row r="692" ht="12.75">
      <c r="G692" s="8"/>
    </row>
    <row r="693" ht="12.75">
      <c r="G693" s="8"/>
    </row>
    <row r="694" ht="12.75">
      <c r="G694" s="8"/>
    </row>
    <row r="695" ht="12.75">
      <c r="G695" s="8"/>
    </row>
    <row r="696" ht="12.75">
      <c r="G696" s="8"/>
    </row>
    <row r="697" ht="12.75">
      <c r="G697" s="8"/>
    </row>
    <row r="698" ht="12.75">
      <c r="G698" s="8"/>
    </row>
    <row r="699" ht="12.75">
      <c r="G699" s="8"/>
    </row>
    <row r="700" ht="12.75">
      <c r="G700" s="8"/>
    </row>
    <row r="701" ht="12.75">
      <c r="G701" s="8"/>
    </row>
    <row r="702" ht="12.75">
      <c r="G702" s="8"/>
    </row>
    <row r="703" ht="12.75">
      <c r="G703" s="8"/>
    </row>
    <row r="704" ht="12.75">
      <c r="G704" s="8"/>
    </row>
    <row r="705" ht="12.75">
      <c r="G705" s="8"/>
    </row>
    <row r="706" ht="12.75">
      <c r="G706" s="8"/>
    </row>
    <row r="707" ht="12.75">
      <c r="G707" s="8"/>
    </row>
    <row r="708" ht="12.75">
      <c r="G708" s="8"/>
    </row>
    <row r="709" ht="12.75">
      <c r="G709" s="8"/>
    </row>
    <row r="710" ht="12.75">
      <c r="G710" s="8"/>
    </row>
    <row r="711" ht="12.75">
      <c r="G711" s="8"/>
    </row>
    <row r="712" ht="12.75">
      <c r="G712" s="8"/>
    </row>
    <row r="713" ht="12.75">
      <c r="G713" s="8"/>
    </row>
    <row r="714" ht="12.75">
      <c r="G714" s="8"/>
    </row>
    <row r="715" ht="12.75">
      <c r="G715" s="8"/>
    </row>
    <row r="716" ht="12.75">
      <c r="G716" s="8"/>
    </row>
    <row r="717" ht="12.75">
      <c r="G717" s="8"/>
    </row>
    <row r="718" ht="12.75">
      <c r="G718" s="8"/>
    </row>
    <row r="719" ht="12.75">
      <c r="G719" s="8"/>
    </row>
    <row r="720" ht="12.75">
      <c r="G720" s="8"/>
    </row>
    <row r="721" ht="12.75">
      <c r="G721" s="8"/>
    </row>
    <row r="722" ht="12.75">
      <c r="G722" s="8"/>
    </row>
    <row r="723" ht="12.75">
      <c r="G723" s="8"/>
    </row>
    <row r="724" ht="12.75">
      <c r="G724" s="8"/>
    </row>
    <row r="725" ht="12.75">
      <c r="G725" s="8"/>
    </row>
    <row r="726" ht="12.75">
      <c r="G726" s="8"/>
    </row>
    <row r="727" ht="12.75">
      <c r="G727" s="8"/>
    </row>
    <row r="728" ht="12.75">
      <c r="G728" s="8"/>
    </row>
    <row r="729" ht="12.75">
      <c r="G729" s="8"/>
    </row>
    <row r="730" ht="12.75">
      <c r="G730" s="8"/>
    </row>
    <row r="731" ht="12.75">
      <c r="G731" s="8"/>
    </row>
    <row r="732" ht="12.75">
      <c r="G732" s="8"/>
    </row>
    <row r="733" ht="12.75">
      <c r="G733" s="8"/>
    </row>
    <row r="734" ht="12.75">
      <c r="G734" s="8"/>
    </row>
    <row r="735" ht="12.75">
      <c r="G735" s="8"/>
    </row>
    <row r="736" ht="12.75">
      <c r="G736" s="8"/>
    </row>
    <row r="737" ht="12.75">
      <c r="G737" s="8"/>
    </row>
    <row r="738" ht="12.75">
      <c r="G738" s="8"/>
    </row>
    <row r="739" ht="12.75">
      <c r="G739" s="8"/>
    </row>
    <row r="740" ht="12.75">
      <c r="G740" s="8"/>
    </row>
    <row r="741" ht="12.75">
      <c r="G741" s="8"/>
    </row>
    <row r="742" ht="12.75">
      <c r="G742" s="8"/>
    </row>
    <row r="743" ht="12.75">
      <c r="G743" s="8"/>
    </row>
    <row r="744" ht="12.75">
      <c r="G744" s="8"/>
    </row>
    <row r="745" ht="12.75">
      <c r="G745" s="8"/>
    </row>
    <row r="746" ht="12.75">
      <c r="G746" s="8"/>
    </row>
    <row r="747" ht="12.75">
      <c r="G747" s="8"/>
    </row>
    <row r="748" ht="12.75">
      <c r="G748" s="8"/>
    </row>
    <row r="749" ht="12.75">
      <c r="G749" s="8"/>
    </row>
    <row r="750" ht="12.75">
      <c r="G750" s="8"/>
    </row>
    <row r="751" ht="12.75">
      <c r="G751" s="8"/>
    </row>
    <row r="752" ht="12.75">
      <c r="G752" s="8"/>
    </row>
    <row r="753" ht="12.75">
      <c r="G753" s="8"/>
    </row>
    <row r="754" ht="12.75">
      <c r="G754" s="8"/>
    </row>
    <row r="755" ht="12.75">
      <c r="G755" s="8"/>
    </row>
    <row r="756" ht="12.75">
      <c r="G756" s="8"/>
    </row>
    <row r="757" ht="12.75">
      <c r="G757" s="8"/>
    </row>
    <row r="758" ht="12.75">
      <c r="G758" s="8"/>
    </row>
    <row r="759" ht="12.75">
      <c r="G759" s="8"/>
    </row>
    <row r="760" ht="12.75">
      <c r="G760" s="8"/>
    </row>
    <row r="761" ht="12.75">
      <c r="G761" s="8"/>
    </row>
    <row r="762" ht="12.75">
      <c r="G762" s="8"/>
    </row>
    <row r="763" ht="12.75">
      <c r="G763" s="8"/>
    </row>
    <row r="764" ht="12.75">
      <c r="G764" s="8"/>
    </row>
    <row r="765" ht="12.75">
      <c r="G765" s="8"/>
    </row>
    <row r="766" ht="12.75">
      <c r="G766" s="8"/>
    </row>
    <row r="767" ht="12.75">
      <c r="G767" s="8"/>
    </row>
    <row r="768" ht="12.75">
      <c r="G768" s="8"/>
    </row>
    <row r="769" ht="12.75">
      <c r="G769" s="8"/>
    </row>
    <row r="770" ht="12.75">
      <c r="G770" s="8"/>
    </row>
    <row r="771" ht="12.75">
      <c r="G771" s="8"/>
    </row>
    <row r="772" ht="12.75">
      <c r="G772" s="8"/>
    </row>
    <row r="773" ht="12.75">
      <c r="G773" s="8"/>
    </row>
    <row r="774" ht="12.75">
      <c r="G774" s="8"/>
    </row>
    <row r="775" ht="12.75">
      <c r="G775" s="8"/>
    </row>
    <row r="776" ht="12.75">
      <c r="G776" s="8"/>
    </row>
    <row r="777" ht="12.75">
      <c r="G777" s="8"/>
    </row>
    <row r="778" ht="12.75">
      <c r="G778" s="8"/>
    </row>
    <row r="779" ht="12.75">
      <c r="G779" s="8"/>
    </row>
    <row r="780" ht="12.75">
      <c r="G780" s="8"/>
    </row>
    <row r="781" ht="12.75">
      <c r="G781" s="8"/>
    </row>
    <row r="782" ht="12.75">
      <c r="G782" s="8"/>
    </row>
    <row r="783" ht="12.75">
      <c r="G783" s="8"/>
    </row>
    <row r="784" ht="12.75">
      <c r="G784" s="8"/>
    </row>
    <row r="785" ht="12.75">
      <c r="G785" s="8"/>
    </row>
    <row r="786" ht="12.75">
      <c r="G786" s="8"/>
    </row>
    <row r="787" ht="12.75">
      <c r="G787" s="8"/>
    </row>
    <row r="788" ht="12.75">
      <c r="G788" s="8"/>
    </row>
    <row r="789" ht="12.75">
      <c r="G789" s="8"/>
    </row>
    <row r="790" ht="12.75">
      <c r="G790" s="8"/>
    </row>
    <row r="791" ht="12.75">
      <c r="G791" s="8"/>
    </row>
    <row r="792" ht="12.75">
      <c r="G792" s="8"/>
    </row>
    <row r="793" ht="12.75">
      <c r="G793" s="8"/>
    </row>
    <row r="794" ht="12.75">
      <c r="G794" s="8"/>
    </row>
    <row r="795" ht="12.75">
      <c r="G795" s="8"/>
    </row>
    <row r="796" ht="12.75">
      <c r="G796" s="8"/>
    </row>
    <row r="797" ht="12.75">
      <c r="G797" s="8"/>
    </row>
    <row r="798" ht="12.75">
      <c r="G798" s="8"/>
    </row>
    <row r="799" ht="12.75">
      <c r="G799" s="8"/>
    </row>
    <row r="800" ht="12.75">
      <c r="G800" s="8"/>
    </row>
    <row r="801" ht="12.75">
      <c r="G801" s="8"/>
    </row>
    <row r="802" ht="12.75">
      <c r="G802" s="8"/>
    </row>
    <row r="803" ht="12.75">
      <c r="G803" s="8"/>
    </row>
    <row r="804" ht="12.75">
      <c r="G804" s="8"/>
    </row>
    <row r="805" ht="12.75">
      <c r="G805" s="8"/>
    </row>
    <row r="806" ht="12.75">
      <c r="G806" s="8"/>
    </row>
    <row r="807" ht="12.75">
      <c r="G807" s="8"/>
    </row>
    <row r="808" ht="12.75">
      <c r="G808" s="8"/>
    </row>
    <row r="809" ht="12.75">
      <c r="G809" s="8"/>
    </row>
    <row r="810" ht="12.75">
      <c r="G810" s="8"/>
    </row>
    <row r="811" ht="12.75">
      <c r="G811" s="8"/>
    </row>
    <row r="812" ht="12.75">
      <c r="G812" s="8"/>
    </row>
    <row r="813" ht="12.75">
      <c r="G813" s="8"/>
    </row>
    <row r="814" ht="12.75">
      <c r="G814" s="8"/>
    </row>
    <row r="815" ht="12.75">
      <c r="G815" s="8"/>
    </row>
    <row r="816" ht="12.75">
      <c r="G816" s="8"/>
    </row>
    <row r="817" ht="12.75">
      <c r="G817" s="8"/>
    </row>
    <row r="818" ht="12.75">
      <c r="G818" s="8"/>
    </row>
    <row r="819" ht="12.75">
      <c r="G819" s="8"/>
    </row>
    <row r="820" ht="12.75">
      <c r="G820" s="8"/>
    </row>
    <row r="821" ht="12.75">
      <c r="G821" s="8"/>
    </row>
    <row r="822" ht="12.75">
      <c r="G822" s="8"/>
    </row>
    <row r="823" ht="12.75">
      <c r="G823" s="8"/>
    </row>
    <row r="824" ht="12.75">
      <c r="G824" s="8"/>
    </row>
    <row r="825" ht="12.75">
      <c r="G825" s="8"/>
    </row>
    <row r="826" ht="12.75">
      <c r="G826" s="8"/>
    </row>
    <row r="827" ht="12.75">
      <c r="G827" s="8"/>
    </row>
    <row r="828" ht="12.75">
      <c r="G828" s="8"/>
    </row>
    <row r="829" ht="12.75">
      <c r="G829" s="8"/>
    </row>
    <row r="830" ht="12.75">
      <c r="G830" s="8"/>
    </row>
    <row r="831" ht="12.75">
      <c r="G831" s="8"/>
    </row>
    <row r="832" ht="12.75">
      <c r="G832" s="8"/>
    </row>
    <row r="833" ht="12.75">
      <c r="G833" s="8"/>
    </row>
    <row r="834" ht="12.75">
      <c r="G834" s="8"/>
    </row>
    <row r="835" ht="12.75">
      <c r="G835" s="8"/>
    </row>
    <row r="836" ht="12.75">
      <c r="G836" s="8"/>
    </row>
    <row r="837" ht="12.75">
      <c r="G837" s="8"/>
    </row>
    <row r="838" ht="12.75">
      <c r="G838" s="8"/>
    </row>
    <row r="839" ht="12.75">
      <c r="G839" s="8"/>
    </row>
    <row r="840" ht="12.75">
      <c r="G840" s="8"/>
    </row>
    <row r="841" ht="12.75">
      <c r="G841" s="8"/>
    </row>
    <row r="842" ht="12.75">
      <c r="G842" s="8"/>
    </row>
    <row r="843" ht="12.75">
      <c r="G843" s="8"/>
    </row>
    <row r="844" ht="12.75">
      <c r="G844" s="8"/>
    </row>
    <row r="845" ht="12.75">
      <c r="G845" s="8"/>
    </row>
    <row r="846" ht="12.75">
      <c r="G846" s="8"/>
    </row>
    <row r="847" ht="12.75">
      <c r="G847" s="8"/>
    </row>
    <row r="848" ht="12.75">
      <c r="G848" s="8"/>
    </row>
    <row r="849" ht="12.75">
      <c r="G849" s="8"/>
    </row>
    <row r="850" ht="12.75">
      <c r="G850" s="8"/>
    </row>
    <row r="851" ht="12.75">
      <c r="G851" s="8"/>
    </row>
    <row r="852" ht="12.75">
      <c r="G852" s="8"/>
    </row>
    <row r="853" ht="12.75">
      <c r="G853" s="8"/>
    </row>
    <row r="854" ht="12.75">
      <c r="G854" s="8"/>
    </row>
    <row r="855" ht="12.75">
      <c r="G855" s="8"/>
    </row>
    <row r="856" ht="12.75">
      <c r="G856" s="8"/>
    </row>
    <row r="857" ht="12.75">
      <c r="G857" s="8"/>
    </row>
    <row r="858" ht="12.75">
      <c r="G858" s="8"/>
    </row>
    <row r="859" ht="12.75">
      <c r="G859" s="8"/>
    </row>
    <row r="860" ht="12.75">
      <c r="G860" s="8"/>
    </row>
    <row r="861" ht="12.75">
      <c r="G861" s="8"/>
    </row>
    <row r="862" ht="12.75">
      <c r="G862" s="8"/>
    </row>
    <row r="863" ht="12.75">
      <c r="G863" s="8"/>
    </row>
    <row r="864" ht="12.75">
      <c r="G864" s="8"/>
    </row>
    <row r="865" ht="12.75">
      <c r="G865" s="8"/>
    </row>
    <row r="866" ht="12.75">
      <c r="G866" s="8"/>
    </row>
    <row r="867" ht="12.75">
      <c r="G867" s="8"/>
    </row>
    <row r="868" ht="12.75">
      <c r="G868" s="8"/>
    </row>
    <row r="869" ht="12.75">
      <c r="G869" s="8"/>
    </row>
    <row r="870" ht="12.75">
      <c r="G870" s="8"/>
    </row>
    <row r="871" ht="12.75">
      <c r="G871" s="8"/>
    </row>
    <row r="872" ht="12.75">
      <c r="G872" s="8"/>
    </row>
    <row r="873" ht="12.75">
      <c r="G873" s="8"/>
    </row>
    <row r="874" ht="12.75">
      <c r="G874" s="8"/>
    </row>
    <row r="875" ht="12.75">
      <c r="G875" s="8"/>
    </row>
    <row r="876" ht="12.75">
      <c r="G876" s="8"/>
    </row>
    <row r="877" ht="12.75">
      <c r="G877" s="8"/>
    </row>
    <row r="878" ht="12.75">
      <c r="G878" s="8"/>
    </row>
    <row r="879" ht="12.75">
      <c r="G879" s="8"/>
    </row>
    <row r="880" ht="12.75">
      <c r="G880" s="8"/>
    </row>
    <row r="881" ht="12.75">
      <c r="G881" s="8"/>
    </row>
    <row r="882" ht="12.75">
      <c r="G882" s="8"/>
    </row>
    <row r="883" ht="12.75">
      <c r="G883" s="8"/>
    </row>
    <row r="884" ht="12.75">
      <c r="G884" s="8"/>
    </row>
    <row r="885" ht="12.75">
      <c r="G885" s="8"/>
    </row>
    <row r="886" ht="12.75">
      <c r="G886" s="8"/>
    </row>
    <row r="887" ht="12.75">
      <c r="G887" s="8"/>
    </row>
    <row r="888" ht="12.75">
      <c r="G888" s="8"/>
    </row>
    <row r="889" ht="12.75">
      <c r="G889" s="8"/>
    </row>
    <row r="890" ht="12.75">
      <c r="G890" s="8"/>
    </row>
    <row r="891" ht="12.75">
      <c r="G891" s="8"/>
    </row>
    <row r="892" ht="12.75">
      <c r="G892" s="8"/>
    </row>
    <row r="893" ht="12.75">
      <c r="G893" s="8"/>
    </row>
    <row r="894" ht="12.75">
      <c r="G894" s="8"/>
    </row>
    <row r="895" ht="12.75">
      <c r="G895" s="8"/>
    </row>
    <row r="896" ht="12.75">
      <c r="G896" s="8"/>
    </row>
    <row r="897" ht="12.75">
      <c r="G897" s="8"/>
    </row>
    <row r="898" ht="12.75">
      <c r="G898" s="8"/>
    </row>
    <row r="899" ht="12.75">
      <c r="G899" s="8"/>
    </row>
    <row r="900" ht="12.75">
      <c r="G900" s="8"/>
    </row>
    <row r="901" ht="12.75">
      <c r="G901" s="8"/>
    </row>
    <row r="902" ht="12.75">
      <c r="G902" s="8"/>
    </row>
    <row r="903" ht="12.75">
      <c r="G903" s="8"/>
    </row>
    <row r="904" ht="12.75">
      <c r="G904" s="8"/>
    </row>
    <row r="905" ht="12.75">
      <c r="G905" s="8"/>
    </row>
    <row r="906" ht="12.75">
      <c r="G906" s="8"/>
    </row>
    <row r="907" ht="12.75">
      <c r="G907" s="8"/>
    </row>
    <row r="908" ht="12.75">
      <c r="G908" s="8"/>
    </row>
    <row r="909" ht="12.75">
      <c r="G909" s="8"/>
    </row>
    <row r="910" ht="12.75">
      <c r="G910" s="8"/>
    </row>
    <row r="911" ht="12.75">
      <c r="G911" s="8"/>
    </row>
    <row r="912" ht="12.75">
      <c r="G912" s="8"/>
    </row>
    <row r="913" ht="12.75">
      <c r="G913" s="8"/>
    </row>
    <row r="914" ht="12.75">
      <c r="G914" s="8"/>
    </row>
    <row r="915" ht="12.75">
      <c r="G915" s="8"/>
    </row>
    <row r="916" ht="12.75">
      <c r="G916" s="8"/>
    </row>
    <row r="917" ht="12.75">
      <c r="G917" s="8"/>
    </row>
    <row r="918" ht="12.75">
      <c r="G918" s="8"/>
    </row>
    <row r="919" ht="12.75">
      <c r="G919" s="8"/>
    </row>
    <row r="920" ht="12.75">
      <c r="G920" s="8"/>
    </row>
    <row r="921" ht="12.75">
      <c r="G921" s="8"/>
    </row>
    <row r="922" ht="12.75">
      <c r="G922" s="8"/>
    </row>
    <row r="923" ht="12.75">
      <c r="G923" s="8"/>
    </row>
    <row r="924" ht="12.75">
      <c r="G924" s="8"/>
    </row>
    <row r="925" ht="12.75">
      <c r="G925" s="8"/>
    </row>
    <row r="926" ht="12.75">
      <c r="G926" s="8"/>
    </row>
    <row r="927" ht="12.75">
      <c r="G927" s="8"/>
    </row>
    <row r="928" ht="12.75">
      <c r="G928" s="8"/>
    </row>
    <row r="929" ht="12.75">
      <c r="G929" s="8"/>
    </row>
    <row r="930" ht="12.75">
      <c r="G930" s="8"/>
    </row>
    <row r="931" ht="12.75">
      <c r="G931" s="8"/>
    </row>
    <row r="932" ht="12.75">
      <c r="G932" s="8"/>
    </row>
    <row r="933" ht="12.75">
      <c r="G933" s="8"/>
    </row>
    <row r="934" ht="12.75">
      <c r="G934" s="8"/>
    </row>
    <row r="935" ht="12.75">
      <c r="G935" s="8"/>
    </row>
    <row r="936" ht="12.75">
      <c r="G936" s="8"/>
    </row>
    <row r="937" ht="12.75">
      <c r="G937" s="8"/>
    </row>
    <row r="938" ht="12.75">
      <c r="G938" s="8"/>
    </row>
    <row r="939" ht="12.75">
      <c r="G939" s="8"/>
    </row>
    <row r="940" ht="12.75">
      <c r="G940" s="8"/>
    </row>
    <row r="941" ht="12.75">
      <c r="G941" s="8"/>
    </row>
    <row r="942" ht="12.75">
      <c r="G942" s="8"/>
    </row>
    <row r="943" ht="12.75">
      <c r="G943" s="8"/>
    </row>
    <row r="944" ht="12.75">
      <c r="G944" s="8"/>
    </row>
    <row r="945" ht="12.75">
      <c r="G945" s="8"/>
    </row>
    <row r="946" ht="12.75">
      <c r="G946" s="8"/>
    </row>
    <row r="947" ht="12.75">
      <c r="G947" s="8"/>
    </row>
    <row r="948" ht="12.75">
      <c r="G948" s="8"/>
    </row>
    <row r="949" ht="12.75">
      <c r="G949" s="8"/>
    </row>
    <row r="950" ht="12.75">
      <c r="G950" s="8"/>
    </row>
    <row r="951" ht="12.75">
      <c r="G951" s="8"/>
    </row>
    <row r="952" ht="12.75">
      <c r="G952" s="8"/>
    </row>
    <row r="953" ht="12.75">
      <c r="G953" s="8"/>
    </row>
    <row r="954" ht="12.75">
      <c r="G954" s="8"/>
    </row>
    <row r="955" ht="12.75">
      <c r="G955" s="8"/>
    </row>
    <row r="956" ht="12.75">
      <c r="G956" s="8"/>
    </row>
    <row r="957" ht="12.75">
      <c r="G957" s="8"/>
    </row>
    <row r="958" ht="12.75">
      <c r="G958" s="8"/>
    </row>
    <row r="959" ht="12.75">
      <c r="G959" s="8"/>
    </row>
    <row r="960" ht="12.75">
      <c r="G960" s="8"/>
    </row>
    <row r="961" ht="12.75">
      <c r="G961" s="8"/>
    </row>
    <row r="962" ht="12.75">
      <c r="G962" s="8"/>
    </row>
    <row r="963" ht="12.75">
      <c r="G963" s="8"/>
    </row>
    <row r="964" ht="12.75">
      <c r="G964" s="8"/>
    </row>
    <row r="965" ht="12.75">
      <c r="G965" s="8"/>
    </row>
    <row r="966" ht="12.75">
      <c r="G966" s="8"/>
    </row>
    <row r="967" ht="12.75">
      <c r="G967" s="8"/>
    </row>
    <row r="968" ht="12.75">
      <c r="G968" s="8"/>
    </row>
    <row r="969" ht="12.75">
      <c r="G969" s="8"/>
    </row>
    <row r="970" ht="12.75">
      <c r="G970" s="8"/>
    </row>
    <row r="971" ht="12.75">
      <c r="G971" s="8"/>
    </row>
    <row r="972" ht="12.75">
      <c r="G972" s="8"/>
    </row>
    <row r="973" ht="12.75">
      <c r="G973" s="8"/>
    </row>
    <row r="974" ht="12.75">
      <c r="G974" s="8"/>
    </row>
    <row r="975" ht="12.75">
      <c r="G975" s="8"/>
    </row>
    <row r="976" ht="12.75">
      <c r="G976" s="8"/>
    </row>
    <row r="977" ht="12.75">
      <c r="G977" s="8"/>
    </row>
    <row r="978" ht="12.75">
      <c r="G978" s="8"/>
    </row>
    <row r="979" ht="12.75">
      <c r="G979" s="8"/>
    </row>
    <row r="980" ht="12.75">
      <c r="G980" s="8"/>
    </row>
    <row r="981" ht="12.75">
      <c r="G981" s="8"/>
    </row>
    <row r="982" ht="12.75">
      <c r="G982" s="8"/>
    </row>
    <row r="983" ht="12.75">
      <c r="G983" s="8"/>
    </row>
    <row r="984" ht="12.75">
      <c r="G984" s="8"/>
    </row>
    <row r="985" ht="12.75">
      <c r="G985" s="8"/>
    </row>
    <row r="986" ht="12.75">
      <c r="G986" s="8"/>
    </row>
    <row r="987" ht="12.75">
      <c r="G987" s="8"/>
    </row>
    <row r="988" ht="12.75">
      <c r="G988" s="8"/>
    </row>
    <row r="989" ht="12.75">
      <c r="G989" s="8"/>
    </row>
    <row r="990" ht="12.75">
      <c r="G990" s="8"/>
    </row>
    <row r="991" ht="12.75">
      <c r="G991" s="8"/>
    </row>
    <row r="992" ht="12.75">
      <c r="G992" s="8"/>
    </row>
    <row r="993" ht="12.75">
      <c r="G993" s="8"/>
    </row>
    <row r="994" ht="12.75">
      <c r="G994" s="8"/>
    </row>
    <row r="995" ht="12.75">
      <c r="G995" s="8"/>
    </row>
    <row r="996" ht="12.75">
      <c r="G996" s="8"/>
    </row>
    <row r="997" ht="12.75">
      <c r="G997" s="8"/>
    </row>
    <row r="998" ht="12.75">
      <c r="G998" s="8"/>
    </row>
    <row r="999" ht="12.75">
      <c r="G999" s="8"/>
    </row>
  </sheetData>
  <mergeCells count="1">
    <mergeCell ref="A4:C4"/>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E1" zoomScale="100" workbookViewId="0">
      <selection activeCell="A1" activeCellId="0" sqref="A1"/>
    </sheetView>
  </sheetViews>
  <sheetFormatPr baseColWidth="10" defaultColWidth="12.5703125" defaultRowHeight="15.75" customHeight="1"/>
  <cols>
    <col customWidth="1" min="1" max="1" width="34.7109375"/>
    <col customWidth="1" min="2" max="2" width="28.7109375"/>
    <col customWidth="1" min="3" max="3" width="41.28515625"/>
    <col customWidth="1" min="4" max="4" width="28.7109375"/>
    <col customWidth="1" min="5" max="5" width="34.140625"/>
    <col customWidth="1" min="6" max="6" width="30.7109375"/>
    <col customWidth="1" min="7" max="7" width="21.42578125"/>
    <col customWidth="1" min="8" max="8" width="59"/>
    <col customWidth="1" min="9" max="9" width="35.42578125"/>
    <col customWidth="1" min="10" max="10" width="29.140625"/>
    <col customWidth="1" min="11" max="11" width="29.5703125"/>
    <col customWidth="1" min="12" max="12" width="28.140625"/>
  </cols>
  <sheetData>
    <row r="1" ht="12.75">
      <c r="A1" s="90" t="str">
        <f>Classes!A1</f>
        <v xml:space="preserve">URI de l'ontologie</v>
      </c>
      <c r="B1" s="5" t="str">
        <f>Classes!B1</f>
        <v>http://data.esante.gouv.fr/ansm/medicament</v>
      </c>
      <c r="D1" s="8"/>
    </row>
    <row r="2" ht="12.75">
      <c r="A2" s="8"/>
      <c r="D2" s="8"/>
    </row>
    <row r="3" ht="12.75">
      <c r="A3" s="8"/>
      <c r="D3" s="8"/>
    </row>
    <row r="4" ht="29.25" customHeight="1">
      <c r="A4" s="93" t="s">
        <v>798</v>
      </c>
      <c r="B4" s="93"/>
      <c r="C4" s="93"/>
      <c r="D4" s="8"/>
    </row>
    <row r="5" ht="12.75">
      <c r="A5" s="8"/>
      <c r="D5" s="8"/>
    </row>
    <row r="6" ht="12.75">
      <c r="A6" s="8"/>
      <c r="D6" s="8"/>
    </row>
    <row r="7" ht="38.25">
      <c r="A7" s="13" t="s">
        <v>34</v>
      </c>
      <c r="B7" s="12" t="s">
        <v>15</v>
      </c>
      <c r="C7" s="12" t="s">
        <v>799</v>
      </c>
      <c r="D7" s="13" t="s">
        <v>800</v>
      </c>
      <c r="E7" s="12" t="s">
        <v>801</v>
      </c>
      <c r="F7" s="13" t="s">
        <v>802</v>
      </c>
      <c r="G7" s="13" t="s">
        <v>803</v>
      </c>
      <c r="H7" s="13" t="s">
        <v>804</v>
      </c>
      <c r="I7" s="12" t="s">
        <v>805</v>
      </c>
      <c r="J7" s="13" t="s">
        <v>806</v>
      </c>
      <c r="K7" s="13" t="s">
        <v>807</v>
      </c>
      <c r="L7" s="13" t="s">
        <v>808</v>
      </c>
      <c r="M7" s="12"/>
      <c r="N7" s="12"/>
      <c r="O7" s="12"/>
      <c r="P7" s="12"/>
      <c r="Q7" s="12"/>
      <c r="R7" s="12"/>
      <c r="S7" s="12"/>
      <c r="T7" s="12"/>
      <c r="U7" s="12"/>
      <c r="V7" s="12"/>
      <c r="W7" s="12"/>
      <c r="X7" s="12"/>
      <c r="Y7" s="12"/>
      <c r="Z7" s="12"/>
    </row>
    <row r="8" ht="127.5">
      <c r="A8" s="8" t="s">
        <v>809</v>
      </c>
      <c r="B8" s="2" t="s">
        <v>810</v>
      </c>
      <c r="C8" s="8" t="s">
        <v>811</v>
      </c>
      <c r="D8" s="8" t="s">
        <v>812</v>
      </c>
      <c r="E8" s="2" t="str">
        <f t="shared" ref="E8:E9" si="23">CONCATENATE(A8,"-nodeValidator")</f>
        <v>med:Component_sousClasseDe-nodeValidator</v>
      </c>
      <c r="F8" s="2" t="s">
        <v>813</v>
      </c>
      <c r="G8" s="8" t="s">
        <v>814</v>
      </c>
      <c r="H8" s="8" t="s">
        <v>815</v>
      </c>
      <c r="I8" s="2" t="str">
        <f>CONCATENATE(A8,"-propertyValidator")</f>
        <v>med:Component_sousClasseDe-propertyValidator</v>
      </c>
      <c r="J8" s="2" t="s">
        <v>813</v>
      </c>
      <c r="K8" s="8" t="s">
        <v>814</v>
      </c>
      <c r="L8" s="8" t="s">
        <v>816</v>
      </c>
    </row>
    <row r="9" ht="191.25">
      <c r="A9" s="8" t="s">
        <v>817</v>
      </c>
      <c r="B9" s="2" t="s">
        <v>810</v>
      </c>
      <c r="C9" s="8" t="s">
        <v>818</v>
      </c>
      <c r="D9" s="8" t="s">
        <v>819</v>
      </c>
      <c r="E9" s="2" t="str">
        <f t="shared" si="23"/>
        <v>med:Component_closedBySuperClasses-nodeValidator</v>
      </c>
      <c r="F9" s="2" t="s">
        <v>813</v>
      </c>
      <c r="G9" s="8" t="s">
        <v>820</v>
      </c>
      <c r="H9" s="8" t="s">
        <v>821</v>
      </c>
    </row>
    <row r="10" ht="12.75">
      <c r="A10" s="8"/>
      <c r="D10" s="8"/>
    </row>
    <row r="11" ht="12.75">
      <c r="A11" s="8"/>
      <c r="D11" s="8"/>
    </row>
    <row r="12" ht="12.75">
      <c r="A12" s="8"/>
      <c r="D12" s="8"/>
    </row>
    <row r="13" ht="12.75">
      <c r="A13" s="8"/>
      <c r="D13" s="8"/>
    </row>
    <row r="14" ht="12.75">
      <c r="A14" s="8"/>
      <c r="D14" s="8"/>
    </row>
    <row r="15" ht="12.75">
      <c r="A15" s="8"/>
      <c r="D15" s="8"/>
    </row>
    <row r="16" ht="12.75">
      <c r="A16" s="8"/>
      <c r="D16" s="8"/>
    </row>
    <row r="17" ht="12.75">
      <c r="A17" s="8"/>
      <c r="D17" s="8"/>
    </row>
    <row r="18" ht="12.75">
      <c r="A18" s="8"/>
      <c r="D18" s="8"/>
    </row>
    <row r="19" ht="12.75">
      <c r="A19" s="8"/>
      <c r="D19" s="8"/>
    </row>
    <row r="20" ht="12.75">
      <c r="A20" s="8"/>
      <c r="D20" s="8"/>
    </row>
    <row r="21" ht="12.75">
      <c r="A21" s="8"/>
      <c r="D21" s="8"/>
    </row>
    <row r="22" ht="12.75">
      <c r="A22" s="8"/>
      <c r="D22" s="8"/>
    </row>
    <row r="23" ht="12.75">
      <c r="A23" s="8"/>
      <c r="D23" s="8"/>
    </row>
    <row r="24" ht="12.75">
      <c r="A24" s="8"/>
      <c r="D24" s="8"/>
    </row>
    <row r="25" ht="12.75">
      <c r="A25" s="8"/>
      <c r="D25" s="8"/>
    </row>
    <row r="26" ht="12.75">
      <c r="A26" s="8"/>
      <c r="D26" s="8"/>
    </row>
    <row r="27" ht="12.75">
      <c r="A27" s="8"/>
      <c r="D27" s="8"/>
    </row>
    <row r="28" ht="12.75">
      <c r="A28" s="8"/>
      <c r="D28" s="8"/>
    </row>
    <row r="29" ht="12.75">
      <c r="A29" s="8"/>
      <c r="D29" s="8"/>
    </row>
    <row r="30" ht="12.75">
      <c r="A30" s="8"/>
      <c r="D30" s="8"/>
    </row>
    <row r="31" ht="12.75">
      <c r="A31" s="8"/>
      <c r="D31" s="8"/>
    </row>
    <row r="32" ht="12.75">
      <c r="A32" s="8"/>
      <c r="D32" s="8"/>
    </row>
    <row r="33" ht="12.75">
      <c r="A33" s="8"/>
      <c r="D33" s="8"/>
    </row>
    <row r="34" ht="12.75">
      <c r="A34" s="8"/>
      <c r="D34" s="8"/>
    </row>
    <row r="35" ht="12.75">
      <c r="A35" s="8"/>
      <c r="D35" s="8"/>
    </row>
    <row r="36" ht="12.75">
      <c r="A36" s="8"/>
      <c r="D36" s="8"/>
    </row>
    <row r="37" ht="12.75">
      <c r="A37" s="8"/>
      <c r="D37" s="8"/>
    </row>
    <row r="38" ht="12.75">
      <c r="A38" s="8"/>
      <c r="D38" s="8"/>
    </row>
    <row r="39" ht="12.75">
      <c r="A39" s="8"/>
      <c r="D39" s="8"/>
    </row>
    <row r="40" ht="12.75">
      <c r="A40" s="8"/>
      <c r="D40" s="8"/>
    </row>
    <row r="41" ht="12.75">
      <c r="A41" s="8"/>
      <c r="D41" s="8"/>
    </row>
    <row r="42" ht="12.75">
      <c r="A42" s="8"/>
      <c r="D42" s="8"/>
    </row>
    <row r="43" ht="12.75">
      <c r="A43" s="8"/>
      <c r="D43" s="8"/>
    </row>
    <row r="44" ht="12.75">
      <c r="A44" s="8"/>
      <c r="D44" s="8"/>
    </row>
    <row r="45" ht="12.75">
      <c r="A45" s="8"/>
      <c r="D45" s="8"/>
    </row>
    <row r="46" ht="12.75">
      <c r="A46" s="8"/>
      <c r="D46" s="8"/>
    </row>
    <row r="47" ht="12.75">
      <c r="A47" s="8"/>
      <c r="D47" s="8"/>
    </row>
    <row r="48" ht="12.75">
      <c r="A48" s="8"/>
      <c r="D48" s="8"/>
    </row>
    <row r="49" ht="12.75">
      <c r="A49" s="8"/>
      <c r="D49" s="8"/>
    </row>
    <row r="50" ht="12.75">
      <c r="A50" s="8"/>
      <c r="D50" s="8"/>
    </row>
    <row r="51" ht="12.75">
      <c r="A51" s="8"/>
      <c r="D51" s="8"/>
    </row>
    <row r="52" ht="12.75">
      <c r="A52" s="8"/>
      <c r="D52" s="8"/>
    </row>
    <row r="53" ht="12.75">
      <c r="A53" s="8"/>
      <c r="D53" s="8"/>
    </row>
    <row r="54" ht="12.75">
      <c r="A54" s="8"/>
      <c r="D54" s="8"/>
    </row>
    <row r="55" ht="12.75">
      <c r="A55" s="8"/>
      <c r="D55" s="8"/>
    </row>
    <row r="56" ht="12.75">
      <c r="A56" s="8"/>
      <c r="D56" s="8"/>
    </row>
    <row r="57" ht="12.75">
      <c r="A57" s="8"/>
      <c r="D57" s="8"/>
    </row>
    <row r="58" ht="12.75">
      <c r="A58" s="8"/>
      <c r="D58" s="8"/>
    </row>
    <row r="59" ht="12.75">
      <c r="A59" s="8"/>
      <c r="D59" s="8"/>
    </row>
    <row r="60" ht="12.75">
      <c r="A60" s="8"/>
      <c r="D60" s="8"/>
    </row>
    <row r="61" ht="12.75">
      <c r="A61" s="8"/>
      <c r="D61" s="8"/>
    </row>
    <row r="62" ht="12.75">
      <c r="A62" s="8"/>
      <c r="D62" s="8"/>
    </row>
    <row r="63" ht="12.75">
      <c r="A63" s="8"/>
      <c r="D63" s="8"/>
    </row>
    <row r="64" ht="12.75">
      <c r="A64" s="8"/>
      <c r="D64" s="8"/>
    </row>
    <row r="65" ht="12.75">
      <c r="A65" s="8"/>
      <c r="D65" s="8"/>
    </row>
    <row r="66" ht="12.75">
      <c r="A66" s="8"/>
      <c r="D66" s="8"/>
    </row>
    <row r="67" ht="12.75">
      <c r="A67" s="8"/>
      <c r="D67" s="8"/>
    </row>
    <row r="68" ht="12.75">
      <c r="A68" s="8"/>
      <c r="D68" s="8"/>
    </row>
    <row r="69" ht="12.75">
      <c r="A69" s="8"/>
      <c r="D69" s="8"/>
    </row>
    <row r="70" ht="12.75">
      <c r="A70" s="8"/>
      <c r="D70" s="8"/>
    </row>
    <row r="71" ht="12.75">
      <c r="A71" s="8"/>
      <c r="D71" s="8"/>
    </row>
    <row r="72" ht="12.75">
      <c r="A72" s="8"/>
      <c r="D72" s="8"/>
    </row>
    <row r="73" ht="12.75">
      <c r="A73" s="8"/>
      <c r="D73" s="8"/>
    </row>
    <row r="74" ht="12.75">
      <c r="A74" s="8"/>
      <c r="D74" s="8"/>
    </row>
    <row r="75" ht="12.75">
      <c r="A75" s="8"/>
      <c r="D75" s="8"/>
    </row>
    <row r="76" ht="12.75">
      <c r="A76" s="8"/>
      <c r="D76" s="8"/>
    </row>
    <row r="77" ht="12.75">
      <c r="A77" s="8"/>
      <c r="D77" s="8"/>
    </row>
    <row r="78" ht="12.75">
      <c r="A78" s="8"/>
      <c r="D78" s="8"/>
    </row>
    <row r="79" ht="12.75">
      <c r="A79" s="8"/>
      <c r="D79" s="8"/>
    </row>
    <row r="80" ht="12.75">
      <c r="A80" s="8"/>
      <c r="D80" s="8"/>
    </row>
    <row r="81" ht="12.75">
      <c r="A81" s="8"/>
      <c r="D81" s="8"/>
    </row>
    <row r="82" ht="12.75">
      <c r="A82" s="8"/>
      <c r="D82" s="8"/>
    </row>
    <row r="83" ht="12.75">
      <c r="A83" s="8"/>
      <c r="D83" s="8"/>
    </row>
    <row r="84" ht="12.75">
      <c r="A84" s="8"/>
      <c r="D84" s="8"/>
    </row>
    <row r="85" ht="12.75">
      <c r="A85" s="8"/>
      <c r="D85" s="8"/>
    </row>
    <row r="86" ht="12.75">
      <c r="A86" s="8"/>
      <c r="D86" s="8"/>
    </row>
    <row r="87" ht="12.75">
      <c r="A87" s="8"/>
      <c r="D87" s="8"/>
    </row>
    <row r="88" ht="12.75">
      <c r="A88" s="8"/>
      <c r="D88" s="8"/>
    </row>
    <row r="89" ht="12.75">
      <c r="A89" s="8"/>
      <c r="D89" s="8"/>
    </row>
    <row r="90" ht="12.75">
      <c r="A90" s="8"/>
      <c r="D90" s="8"/>
    </row>
    <row r="91" ht="12.75">
      <c r="A91" s="8"/>
      <c r="D91" s="8"/>
    </row>
    <row r="92" ht="12.75">
      <c r="A92" s="8"/>
      <c r="D92" s="8"/>
    </row>
    <row r="93" ht="12.75">
      <c r="A93" s="8"/>
      <c r="D93" s="8"/>
    </row>
    <row r="94" ht="12.75">
      <c r="A94" s="8"/>
      <c r="D94" s="8"/>
    </row>
    <row r="95" ht="12.75">
      <c r="A95" s="8"/>
      <c r="D95" s="8"/>
    </row>
    <row r="96" ht="12.75">
      <c r="A96" s="8"/>
      <c r="D96" s="8"/>
    </row>
    <row r="97" ht="12.75">
      <c r="A97" s="8"/>
      <c r="D97" s="8"/>
    </row>
    <row r="98" ht="12.75">
      <c r="A98" s="8"/>
      <c r="D98" s="8"/>
    </row>
    <row r="99" ht="12.75">
      <c r="A99" s="8"/>
      <c r="D99" s="8"/>
    </row>
    <row r="100" ht="12.75">
      <c r="A100" s="8"/>
      <c r="D100" s="8"/>
    </row>
    <row r="101" ht="12.75">
      <c r="A101" s="8"/>
      <c r="D101" s="8"/>
    </row>
    <row r="102" ht="12.75">
      <c r="A102" s="8"/>
      <c r="D102" s="8"/>
    </row>
    <row r="103" ht="12.75">
      <c r="A103" s="8"/>
      <c r="D103" s="8"/>
    </row>
    <row r="104" ht="12.75">
      <c r="A104" s="8"/>
      <c r="D104" s="8"/>
    </row>
    <row r="105" ht="12.75">
      <c r="A105" s="8"/>
      <c r="D105" s="8"/>
    </row>
    <row r="106" ht="12.75">
      <c r="A106" s="8"/>
      <c r="D106" s="8"/>
    </row>
    <row r="107" ht="12.75">
      <c r="A107" s="8"/>
      <c r="D107" s="8"/>
    </row>
    <row r="108" ht="12.75">
      <c r="A108" s="8"/>
      <c r="D108" s="8"/>
    </row>
    <row r="109" ht="12.75">
      <c r="A109" s="8"/>
      <c r="D109" s="8"/>
    </row>
    <row r="110" ht="12.75">
      <c r="A110" s="8"/>
      <c r="D110" s="8"/>
    </row>
    <row r="111" ht="12.75">
      <c r="A111" s="8"/>
      <c r="D111" s="8"/>
    </row>
    <row r="112" ht="12.75">
      <c r="A112" s="8"/>
      <c r="D112" s="8"/>
    </row>
    <row r="113" ht="12.75">
      <c r="A113" s="8"/>
      <c r="D113" s="8"/>
    </row>
    <row r="114" ht="12.75">
      <c r="A114" s="8"/>
      <c r="D114" s="8"/>
    </row>
    <row r="115" ht="12.75">
      <c r="A115" s="8"/>
      <c r="D115" s="8"/>
    </row>
    <row r="116" ht="12.75">
      <c r="A116" s="8"/>
      <c r="D116" s="8"/>
    </row>
    <row r="117" ht="12.75">
      <c r="A117" s="8"/>
      <c r="D117" s="8"/>
    </row>
    <row r="118" ht="12.75">
      <c r="A118" s="8"/>
      <c r="D118" s="8"/>
    </row>
    <row r="119" ht="12.75">
      <c r="A119" s="8"/>
      <c r="D119" s="8"/>
    </row>
    <row r="120" ht="12.75">
      <c r="A120" s="8"/>
      <c r="D120" s="8"/>
    </row>
    <row r="121" ht="12.75">
      <c r="A121" s="8"/>
      <c r="D121" s="8"/>
    </row>
    <row r="122" ht="12.75">
      <c r="A122" s="8"/>
      <c r="D122" s="8"/>
    </row>
    <row r="123" ht="12.75">
      <c r="A123" s="8"/>
      <c r="D123" s="8"/>
    </row>
    <row r="124" ht="12.75">
      <c r="A124" s="8"/>
      <c r="D124" s="8"/>
    </row>
    <row r="125" ht="12.75">
      <c r="A125" s="8"/>
      <c r="D125" s="8"/>
    </row>
    <row r="126" ht="12.75">
      <c r="A126" s="8"/>
      <c r="D126" s="8"/>
    </row>
    <row r="127" ht="12.75">
      <c r="A127" s="8"/>
      <c r="D127" s="8"/>
    </row>
    <row r="128" ht="12.75">
      <c r="A128" s="8"/>
      <c r="D128" s="8"/>
    </row>
    <row r="129" ht="12.75">
      <c r="A129" s="8"/>
      <c r="D129" s="8"/>
    </row>
    <row r="130" ht="12.75">
      <c r="A130" s="8"/>
      <c r="D130" s="8"/>
    </row>
    <row r="131" ht="12.75">
      <c r="A131" s="8"/>
      <c r="D131" s="8"/>
    </row>
    <row r="132" ht="12.75">
      <c r="A132" s="8"/>
      <c r="D132" s="8"/>
    </row>
    <row r="133" ht="12.75">
      <c r="A133" s="8"/>
      <c r="D133" s="8"/>
    </row>
    <row r="134" ht="12.75">
      <c r="A134" s="8"/>
      <c r="D134" s="8"/>
    </row>
    <row r="135" ht="12.75">
      <c r="A135" s="8"/>
      <c r="D135" s="8"/>
    </row>
    <row r="136" ht="12.75">
      <c r="A136" s="8"/>
      <c r="D136" s="8"/>
    </row>
    <row r="137" ht="12.75">
      <c r="A137" s="8"/>
      <c r="D137" s="8"/>
    </row>
    <row r="138" ht="12.75">
      <c r="A138" s="8"/>
      <c r="D138" s="8"/>
    </row>
    <row r="139" ht="12.75">
      <c r="A139" s="8"/>
      <c r="D139" s="8"/>
    </row>
    <row r="140" ht="12.75">
      <c r="A140" s="8"/>
      <c r="D140" s="8"/>
    </row>
    <row r="141" ht="12.75">
      <c r="A141" s="8"/>
      <c r="D141" s="8"/>
    </row>
    <row r="142" ht="12.75">
      <c r="A142" s="8"/>
      <c r="D142" s="8"/>
    </row>
    <row r="143" ht="12.75">
      <c r="A143" s="8"/>
      <c r="D143" s="8"/>
    </row>
    <row r="144" ht="12.75">
      <c r="A144" s="8"/>
      <c r="D144" s="8"/>
    </row>
    <row r="145" ht="12.75">
      <c r="A145" s="8"/>
      <c r="D145" s="8"/>
    </row>
    <row r="146" ht="12.75">
      <c r="A146" s="8"/>
      <c r="D146" s="8"/>
    </row>
    <row r="147" ht="12.75">
      <c r="A147" s="8"/>
      <c r="D147" s="8"/>
    </row>
    <row r="148" ht="12.75">
      <c r="A148" s="8"/>
      <c r="D148" s="8"/>
    </row>
    <row r="149" ht="12.75">
      <c r="A149" s="8"/>
      <c r="D149" s="8"/>
    </row>
    <row r="150" ht="12.75">
      <c r="A150" s="8"/>
      <c r="D150" s="8"/>
    </row>
    <row r="151" ht="12.75">
      <c r="A151" s="8"/>
      <c r="D151" s="8"/>
    </row>
    <row r="152" ht="12.75">
      <c r="A152" s="8"/>
      <c r="D152" s="8"/>
    </row>
    <row r="153" ht="12.75">
      <c r="A153" s="8"/>
      <c r="D153" s="8"/>
    </row>
    <row r="154" ht="12.75">
      <c r="A154" s="8"/>
      <c r="D154" s="8"/>
    </row>
    <row r="155" ht="12.75">
      <c r="A155" s="8"/>
      <c r="D155" s="8"/>
    </row>
    <row r="156" ht="12.75">
      <c r="A156" s="8"/>
      <c r="D156" s="8"/>
    </row>
    <row r="157" ht="12.75">
      <c r="A157" s="8"/>
      <c r="D157" s="8"/>
    </row>
    <row r="158" ht="12.75">
      <c r="A158" s="8"/>
      <c r="D158" s="8"/>
    </row>
    <row r="159" ht="12.75">
      <c r="A159" s="8"/>
      <c r="D159" s="8"/>
    </row>
    <row r="160" ht="12.75">
      <c r="A160" s="8"/>
      <c r="D160" s="8"/>
    </row>
    <row r="161" ht="12.75">
      <c r="A161" s="8"/>
      <c r="D161" s="8"/>
    </row>
    <row r="162" ht="12.75">
      <c r="A162" s="8"/>
      <c r="D162" s="8"/>
    </row>
    <row r="163" ht="12.75">
      <c r="A163" s="8"/>
      <c r="D163" s="8"/>
    </row>
    <row r="164" ht="12.75">
      <c r="A164" s="8"/>
      <c r="D164" s="8"/>
    </row>
    <row r="165" ht="12.75">
      <c r="A165" s="8"/>
      <c r="D165" s="8"/>
    </row>
    <row r="166" ht="12.75">
      <c r="A166" s="8"/>
      <c r="D166" s="8"/>
    </row>
    <row r="167" ht="12.75">
      <c r="A167" s="8"/>
      <c r="D167" s="8"/>
    </row>
    <row r="168" ht="12.75">
      <c r="A168" s="8"/>
      <c r="D168" s="8"/>
    </row>
    <row r="169" ht="12.75">
      <c r="A169" s="8"/>
      <c r="D169" s="8"/>
    </row>
    <row r="170" ht="12.75">
      <c r="A170" s="8"/>
      <c r="D170" s="8"/>
    </row>
    <row r="171" ht="12.75">
      <c r="A171" s="8"/>
      <c r="D171" s="8"/>
    </row>
    <row r="172" ht="12.75">
      <c r="A172" s="8"/>
      <c r="D172" s="8"/>
    </row>
    <row r="173" ht="12.75">
      <c r="A173" s="8"/>
      <c r="D173" s="8"/>
    </row>
    <row r="174" ht="12.75">
      <c r="A174" s="8"/>
      <c r="D174" s="8"/>
    </row>
    <row r="175" ht="12.75">
      <c r="A175" s="8"/>
      <c r="D175" s="8"/>
    </row>
    <row r="176" ht="12.75">
      <c r="A176" s="8"/>
      <c r="D176" s="8"/>
    </row>
    <row r="177" ht="12.75">
      <c r="A177" s="8"/>
      <c r="D177" s="8"/>
    </row>
    <row r="178" ht="12.75">
      <c r="A178" s="8"/>
      <c r="D178" s="8"/>
    </row>
    <row r="179" ht="12.75">
      <c r="A179" s="8"/>
      <c r="D179" s="8"/>
    </row>
    <row r="180" ht="12.75">
      <c r="A180" s="8"/>
      <c r="D180" s="8"/>
    </row>
    <row r="181" ht="12.75">
      <c r="A181" s="8"/>
      <c r="D181" s="8"/>
    </row>
    <row r="182" ht="12.75">
      <c r="A182" s="8"/>
      <c r="D182" s="8"/>
    </row>
    <row r="183" ht="12.75">
      <c r="A183" s="8"/>
      <c r="D183" s="8"/>
    </row>
    <row r="184" ht="12.75">
      <c r="A184" s="8"/>
      <c r="D184" s="8"/>
    </row>
    <row r="185" ht="12.75">
      <c r="A185" s="8"/>
      <c r="D185" s="8"/>
    </row>
    <row r="186" ht="12.75">
      <c r="A186" s="8"/>
      <c r="D186" s="8"/>
    </row>
    <row r="187" ht="12.75">
      <c r="A187" s="8"/>
      <c r="D187" s="8"/>
    </row>
    <row r="188" ht="12.75">
      <c r="A188" s="8"/>
      <c r="D188" s="8"/>
    </row>
    <row r="189" ht="12.75">
      <c r="A189" s="8"/>
      <c r="D189" s="8"/>
    </row>
    <row r="190" ht="12.75">
      <c r="A190" s="8"/>
      <c r="D190" s="8"/>
    </row>
    <row r="191" ht="12.75">
      <c r="A191" s="8"/>
      <c r="D191" s="8"/>
    </row>
    <row r="192" ht="12.75">
      <c r="A192" s="8"/>
      <c r="D192" s="8"/>
    </row>
    <row r="193" ht="12.75">
      <c r="A193" s="8"/>
      <c r="D193" s="8"/>
    </row>
    <row r="194" ht="12.75">
      <c r="A194" s="8"/>
      <c r="D194" s="8"/>
    </row>
    <row r="195" ht="12.75">
      <c r="A195" s="8"/>
      <c r="D195" s="8"/>
    </row>
    <row r="196" ht="12.75">
      <c r="A196" s="8"/>
      <c r="D196" s="8"/>
    </row>
    <row r="197" ht="12.75">
      <c r="A197" s="8"/>
      <c r="D197" s="8"/>
    </row>
    <row r="198" ht="12.75">
      <c r="A198" s="8"/>
      <c r="D198" s="8"/>
    </row>
    <row r="199" ht="12.75">
      <c r="A199" s="8"/>
      <c r="D199" s="8"/>
    </row>
    <row r="200" ht="12.75">
      <c r="A200" s="8"/>
      <c r="D200" s="8"/>
    </row>
    <row r="201" ht="12.75">
      <c r="A201" s="8"/>
      <c r="D201" s="8"/>
    </row>
    <row r="202" ht="12.75">
      <c r="A202" s="8"/>
      <c r="D202" s="8"/>
    </row>
    <row r="203" ht="12.75">
      <c r="A203" s="8"/>
      <c r="D203" s="8"/>
    </row>
    <row r="204" ht="12.75">
      <c r="A204" s="8"/>
      <c r="D204" s="8"/>
    </row>
    <row r="205" ht="12.75">
      <c r="A205" s="8"/>
      <c r="D205" s="8"/>
    </row>
    <row r="206" ht="12.75">
      <c r="A206" s="8"/>
      <c r="D206" s="8"/>
    </row>
    <row r="207" ht="12.75">
      <c r="A207" s="8"/>
      <c r="D207" s="8"/>
    </row>
    <row r="208" ht="12.75">
      <c r="A208" s="8"/>
      <c r="D208" s="8"/>
    </row>
    <row r="209" ht="12.75">
      <c r="A209" s="8"/>
      <c r="D209" s="8"/>
    </row>
    <row r="210" ht="12.75">
      <c r="A210" s="8"/>
      <c r="D210" s="8"/>
    </row>
    <row r="211" ht="12.75">
      <c r="A211" s="8"/>
      <c r="D211" s="8"/>
    </row>
    <row r="212" ht="12.75">
      <c r="A212" s="8"/>
      <c r="D212" s="8"/>
    </row>
    <row r="213" ht="12.75">
      <c r="A213" s="8"/>
      <c r="D213" s="8"/>
    </row>
    <row r="214" ht="12.75">
      <c r="A214" s="8"/>
      <c r="D214" s="8"/>
    </row>
    <row r="215" ht="12.75">
      <c r="A215" s="8"/>
      <c r="D215" s="8"/>
    </row>
    <row r="216" ht="12.75">
      <c r="A216" s="8"/>
      <c r="D216" s="8"/>
    </row>
    <row r="217" ht="12.75">
      <c r="A217" s="8"/>
      <c r="D217" s="8"/>
    </row>
    <row r="218" ht="12.75">
      <c r="A218" s="8"/>
      <c r="D218" s="8"/>
    </row>
    <row r="219" ht="12.75">
      <c r="A219" s="8"/>
      <c r="D219" s="8"/>
    </row>
    <row r="220" ht="12.75">
      <c r="A220" s="8"/>
      <c r="D220" s="8"/>
    </row>
    <row r="221" ht="12.75">
      <c r="A221" s="8"/>
      <c r="D221" s="8"/>
    </row>
    <row r="222" ht="12.75">
      <c r="A222" s="8"/>
      <c r="D222" s="8"/>
    </row>
    <row r="223" ht="12.75">
      <c r="A223" s="8"/>
      <c r="D223" s="8"/>
    </row>
    <row r="224" ht="12.75">
      <c r="A224" s="8"/>
      <c r="D224" s="8"/>
    </row>
    <row r="225" ht="12.75">
      <c r="A225" s="8"/>
      <c r="D225" s="8"/>
    </row>
    <row r="226" ht="12.75">
      <c r="A226" s="8"/>
      <c r="D226" s="8"/>
    </row>
    <row r="227" ht="12.75">
      <c r="A227" s="8"/>
      <c r="D227" s="8"/>
    </row>
    <row r="228" ht="12.75">
      <c r="A228" s="8"/>
      <c r="D228" s="8"/>
    </row>
    <row r="229" ht="12.75">
      <c r="A229" s="8"/>
      <c r="D229" s="8"/>
    </row>
    <row r="230" ht="12.75">
      <c r="A230" s="8"/>
      <c r="D230" s="8"/>
    </row>
    <row r="231" ht="12.75">
      <c r="A231" s="8"/>
      <c r="D231" s="8"/>
    </row>
    <row r="232" ht="12.75">
      <c r="A232" s="8"/>
      <c r="D232" s="8"/>
    </row>
    <row r="233" ht="12.75">
      <c r="A233" s="8"/>
      <c r="D233" s="8"/>
    </row>
    <row r="234" ht="12.75">
      <c r="A234" s="8"/>
      <c r="D234" s="8"/>
    </row>
    <row r="235" ht="12.75">
      <c r="A235" s="8"/>
      <c r="D235" s="8"/>
    </row>
    <row r="236" ht="12.75">
      <c r="A236" s="8"/>
      <c r="D236" s="8"/>
    </row>
    <row r="237" ht="12.75">
      <c r="A237" s="8"/>
      <c r="D237" s="8"/>
    </row>
    <row r="238" ht="12.75">
      <c r="A238" s="8"/>
      <c r="D238" s="8"/>
    </row>
    <row r="239" ht="12.75">
      <c r="A239" s="8"/>
      <c r="D239" s="8"/>
    </row>
    <row r="240" ht="12.75">
      <c r="A240" s="8"/>
      <c r="D240" s="8"/>
    </row>
    <row r="241" ht="12.75">
      <c r="A241" s="8"/>
      <c r="D241" s="8"/>
    </row>
    <row r="242" ht="12.75">
      <c r="A242" s="8"/>
      <c r="D242" s="8"/>
    </row>
    <row r="243" ht="12.75">
      <c r="A243" s="8"/>
      <c r="D243" s="8"/>
    </row>
    <row r="244" ht="12.75">
      <c r="A244" s="8"/>
      <c r="D244" s="8"/>
    </row>
    <row r="245" ht="12.75">
      <c r="A245" s="8"/>
      <c r="D245" s="8"/>
    </row>
    <row r="246" ht="12.75">
      <c r="A246" s="8"/>
      <c r="D246" s="8"/>
    </row>
    <row r="247" ht="12.75">
      <c r="A247" s="8"/>
      <c r="D247" s="8"/>
    </row>
    <row r="248" ht="12.75">
      <c r="A248" s="8"/>
      <c r="D248" s="8"/>
    </row>
    <row r="249" ht="12.75">
      <c r="A249" s="8"/>
      <c r="D249" s="8"/>
    </row>
    <row r="250" ht="12.75">
      <c r="A250" s="8"/>
      <c r="D250" s="8"/>
    </row>
    <row r="251" ht="12.75">
      <c r="A251" s="8"/>
      <c r="D251" s="8"/>
    </row>
    <row r="252" ht="12.75">
      <c r="A252" s="8"/>
      <c r="D252" s="8"/>
    </row>
    <row r="253" ht="12.75">
      <c r="A253" s="8"/>
      <c r="D253" s="8"/>
    </row>
    <row r="254" ht="12.75">
      <c r="A254" s="8"/>
      <c r="D254" s="8"/>
    </row>
    <row r="255" ht="12.75">
      <c r="A255" s="8"/>
      <c r="D255" s="8"/>
    </row>
    <row r="256" ht="12.75">
      <c r="A256" s="8"/>
      <c r="D256" s="8"/>
    </row>
    <row r="257" ht="12.75">
      <c r="A257" s="8"/>
      <c r="D257" s="8"/>
    </row>
    <row r="258" ht="12.75">
      <c r="A258" s="8"/>
      <c r="D258" s="8"/>
    </row>
    <row r="259" ht="12.75">
      <c r="A259" s="8"/>
      <c r="D259" s="8"/>
    </row>
    <row r="260" ht="12.75">
      <c r="A260" s="8"/>
      <c r="D260" s="8"/>
    </row>
    <row r="261" ht="12.75">
      <c r="A261" s="8"/>
      <c r="D261" s="8"/>
    </row>
    <row r="262" ht="12.75">
      <c r="A262" s="8"/>
      <c r="D262" s="8"/>
    </row>
    <row r="263" ht="12.75">
      <c r="A263" s="8"/>
      <c r="D263" s="8"/>
    </row>
    <row r="264" ht="12.75">
      <c r="A264" s="8"/>
      <c r="D264" s="8"/>
    </row>
    <row r="265" ht="12.75">
      <c r="A265" s="8"/>
      <c r="D265" s="8"/>
    </row>
    <row r="266" ht="12.75">
      <c r="A266" s="8"/>
      <c r="D266" s="8"/>
    </row>
    <row r="267" ht="12.75">
      <c r="A267" s="8"/>
      <c r="D267" s="8"/>
    </row>
    <row r="268" ht="12.75">
      <c r="A268" s="8"/>
      <c r="D268" s="8"/>
    </row>
    <row r="269" ht="12.75">
      <c r="A269" s="8"/>
      <c r="D269" s="8"/>
    </row>
    <row r="270" ht="12.75">
      <c r="A270" s="8"/>
      <c r="D270" s="8"/>
    </row>
    <row r="271" ht="12.75">
      <c r="A271" s="8"/>
      <c r="D271" s="8"/>
    </row>
    <row r="272" ht="12.75">
      <c r="A272" s="8"/>
      <c r="D272" s="8"/>
    </row>
    <row r="273" ht="12.75">
      <c r="A273" s="8"/>
      <c r="D273" s="8"/>
    </row>
    <row r="274" ht="12.75">
      <c r="A274" s="8"/>
      <c r="D274" s="8"/>
    </row>
    <row r="275" ht="12.75">
      <c r="A275" s="8"/>
      <c r="D275" s="8"/>
    </row>
    <row r="276" ht="12.75">
      <c r="A276" s="8"/>
      <c r="D276" s="8"/>
    </row>
    <row r="277" ht="12.75">
      <c r="A277" s="8"/>
      <c r="D277" s="8"/>
    </row>
    <row r="278" ht="12.75">
      <c r="A278" s="8"/>
      <c r="D278" s="8"/>
    </row>
    <row r="279" ht="12.75">
      <c r="A279" s="8"/>
      <c r="D279" s="8"/>
    </row>
    <row r="280" ht="12.75">
      <c r="A280" s="8"/>
      <c r="D280" s="8"/>
    </row>
    <row r="281" ht="12.75">
      <c r="A281" s="8"/>
      <c r="D281" s="8"/>
    </row>
    <row r="282" ht="12.75">
      <c r="A282" s="8"/>
      <c r="D282" s="8"/>
    </row>
    <row r="283" ht="12.75">
      <c r="A283" s="8"/>
      <c r="D283" s="8"/>
    </row>
    <row r="284" ht="12.75">
      <c r="A284" s="8"/>
      <c r="D284" s="8"/>
    </row>
    <row r="285" ht="12.75">
      <c r="A285" s="8"/>
      <c r="D285" s="8"/>
    </row>
    <row r="286" ht="12.75">
      <c r="A286" s="8"/>
      <c r="D286" s="8"/>
    </row>
    <row r="287" ht="12.75">
      <c r="A287" s="8"/>
      <c r="D287" s="8"/>
    </row>
    <row r="288" ht="12.75">
      <c r="A288" s="8"/>
      <c r="D288" s="8"/>
    </row>
    <row r="289" ht="12.75">
      <c r="A289" s="8"/>
      <c r="D289" s="8"/>
    </row>
    <row r="290" ht="12.75">
      <c r="A290" s="8"/>
      <c r="D290" s="8"/>
    </row>
    <row r="291" ht="12.75">
      <c r="A291" s="8"/>
      <c r="D291" s="8"/>
    </row>
    <row r="292" ht="12.75">
      <c r="A292" s="8"/>
      <c r="D292" s="8"/>
    </row>
    <row r="293" ht="12.75">
      <c r="A293" s="8"/>
      <c r="D293" s="8"/>
    </row>
    <row r="294" ht="12.75">
      <c r="A294" s="8"/>
      <c r="D294" s="8"/>
    </row>
    <row r="295" ht="12.75">
      <c r="A295" s="8"/>
      <c r="D295" s="8"/>
    </row>
    <row r="296" ht="12.75">
      <c r="A296" s="8"/>
      <c r="D296" s="8"/>
    </row>
    <row r="297" ht="12.75">
      <c r="A297" s="8"/>
      <c r="D297" s="8"/>
    </row>
    <row r="298" ht="12.75">
      <c r="A298" s="8"/>
      <c r="D298" s="8"/>
    </row>
    <row r="299" ht="12.75">
      <c r="A299" s="8"/>
      <c r="D299" s="8"/>
    </row>
    <row r="300" ht="12.75">
      <c r="A300" s="8"/>
      <c r="D300" s="8"/>
    </row>
    <row r="301" ht="12.75">
      <c r="A301" s="8"/>
      <c r="D301" s="8"/>
    </row>
    <row r="302" ht="12.75">
      <c r="A302" s="8"/>
      <c r="D302" s="8"/>
    </row>
    <row r="303" ht="12.75">
      <c r="A303" s="8"/>
      <c r="D303" s="8"/>
    </row>
    <row r="304" ht="12.75">
      <c r="A304" s="8"/>
      <c r="D304" s="8"/>
    </row>
    <row r="305" ht="12.75">
      <c r="A305" s="8"/>
      <c r="D305" s="8"/>
    </row>
    <row r="306" ht="12.75">
      <c r="A306" s="8"/>
      <c r="D306" s="8"/>
    </row>
    <row r="307" ht="12.75">
      <c r="A307" s="8"/>
      <c r="D307" s="8"/>
    </row>
    <row r="308" ht="12.75">
      <c r="A308" s="8"/>
      <c r="D308" s="8"/>
    </row>
    <row r="309" ht="12.75">
      <c r="A309" s="8"/>
      <c r="D309" s="8"/>
    </row>
    <row r="310" ht="12.75">
      <c r="A310" s="8"/>
      <c r="D310" s="8"/>
    </row>
    <row r="311" ht="12.75">
      <c r="A311" s="8"/>
      <c r="D311" s="8"/>
    </row>
    <row r="312" ht="12.75">
      <c r="A312" s="8"/>
      <c r="D312" s="8"/>
    </row>
    <row r="313" ht="12.75">
      <c r="A313" s="8"/>
      <c r="D313" s="8"/>
    </row>
    <row r="314" ht="12.75">
      <c r="A314" s="8"/>
      <c r="D314" s="8"/>
    </row>
    <row r="315" ht="12.75">
      <c r="A315" s="8"/>
      <c r="D315" s="8"/>
    </row>
    <row r="316" ht="12.75">
      <c r="A316" s="8"/>
      <c r="D316" s="8"/>
    </row>
    <row r="317" ht="12.75">
      <c r="A317" s="8"/>
      <c r="D317" s="8"/>
    </row>
    <row r="318" ht="12.75">
      <c r="A318" s="8"/>
      <c r="D318" s="8"/>
    </row>
    <row r="319" ht="12.75">
      <c r="A319" s="8"/>
      <c r="D319" s="8"/>
    </row>
    <row r="320" ht="12.75">
      <c r="A320" s="8"/>
      <c r="D320" s="8"/>
    </row>
    <row r="321" ht="12.75">
      <c r="A321" s="8"/>
      <c r="D321" s="8"/>
    </row>
    <row r="322" ht="12.75">
      <c r="A322" s="8"/>
      <c r="D322" s="8"/>
    </row>
    <row r="323" ht="12.75">
      <c r="A323" s="8"/>
      <c r="D323" s="8"/>
    </row>
    <row r="324" ht="12.75">
      <c r="A324" s="8"/>
      <c r="D324" s="8"/>
    </row>
    <row r="325" ht="12.75">
      <c r="A325" s="8"/>
      <c r="D325" s="8"/>
    </row>
    <row r="326" ht="12.75">
      <c r="A326" s="8"/>
      <c r="D326" s="8"/>
    </row>
    <row r="327" ht="12.75">
      <c r="A327" s="8"/>
      <c r="D327" s="8"/>
    </row>
    <row r="328" ht="12.75">
      <c r="A328" s="8"/>
      <c r="D328" s="8"/>
    </row>
    <row r="329" ht="12.75">
      <c r="A329" s="8"/>
      <c r="D329" s="8"/>
    </row>
    <row r="330" ht="12.75">
      <c r="A330" s="8"/>
      <c r="D330" s="8"/>
    </row>
    <row r="331" ht="12.75">
      <c r="A331" s="8"/>
      <c r="D331" s="8"/>
    </row>
    <row r="332" ht="12.75">
      <c r="A332" s="8"/>
      <c r="D332" s="8"/>
    </row>
    <row r="333" ht="12.75">
      <c r="A333" s="8"/>
      <c r="D333" s="8"/>
    </row>
    <row r="334" ht="12.75">
      <c r="A334" s="8"/>
      <c r="D334" s="8"/>
    </row>
    <row r="335" ht="12.75">
      <c r="A335" s="8"/>
      <c r="D335" s="8"/>
    </row>
    <row r="336" ht="12.75">
      <c r="A336" s="8"/>
      <c r="D336" s="8"/>
    </row>
    <row r="337" ht="12.75">
      <c r="A337" s="8"/>
      <c r="D337" s="8"/>
    </row>
    <row r="338" ht="12.75">
      <c r="A338" s="8"/>
      <c r="D338" s="8"/>
    </row>
    <row r="339" ht="12.75">
      <c r="A339" s="8"/>
      <c r="D339" s="8"/>
    </row>
    <row r="340" ht="12.75">
      <c r="A340" s="8"/>
      <c r="D340" s="8"/>
    </row>
    <row r="341" ht="12.75">
      <c r="A341" s="8"/>
      <c r="D341" s="8"/>
    </row>
    <row r="342" ht="12.75">
      <c r="A342" s="8"/>
      <c r="D342" s="8"/>
    </row>
    <row r="343" ht="12.75">
      <c r="A343" s="8"/>
      <c r="D343" s="8"/>
    </row>
    <row r="344" ht="12.75">
      <c r="A344" s="8"/>
      <c r="D344" s="8"/>
    </row>
    <row r="345" ht="12.75">
      <c r="A345" s="8"/>
      <c r="D345" s="8"/>
    </row>
    <row r="346" ht="12.75">
      <c r="A346" s="8"/>
      <c r="D346" s="8"/>
    </row>
    <row r="347" ht="12.75">
      <c r="A347" s="8"/>
      <c r="D347" s="8"/>
    </row>
    <row r="348" ht="12.75">
      <c r="A348" s="8"/>
      <c r="D348" s="8"/>
    </row>
    <row r="349" ht="12.75">
      <c r="A349" s="8"/>
      <c r="D349" s="8"/>
    </row>
    <row r="350" ht="12.75">
      <c r="A350" s="8"/>
      <c r="D350" s="8"/>
    </row>
    <row r="351" ht="12.75">
      <c r="A351" s="8"/>
      <c r="D351" s="8"/>
    </row>
    <row r="352" ht="12.75">
      <c r="A352" s="8"/>
      <c r="D352" s="8"/>
    </row>
    <row r="353" ht="12.75">
      <c r="A353" s="8"/>
      <c r="D353" s="8"/>
    </row>
    <row r="354" ht="12.75">
      <c r="A354" s="8"/>
      <c r="D354" s="8"/>
    </row>
    <row r="355" ht="12.75">
      <c r="A355" s="8"/>
      <c r="D355" s="8"/>
    </row>
    <row r="356" ht="12.75">
      <c r="A356" s="8"/>
      <c r="D356" s="8"/>
    </row>
    <row r="357" ht="12.75">
      <c r="A357" s="8"/>
      <c r="D357" s="8"/>
    </row>
    <row r="358" ht="12.75">
      <c r="A358" s="8"/>
      <c r="D358" s="8"/>
    </row>
    <row r="359" ht="12.75">
      <c r="A359" s="8"/>
      <c r="D359" s="8"/>
    </row>
    <row r="360" ht="12.75">
      <c r="A360" s="8"/>
      <c r="D360" s="8"/>
    </row>
    <row r="361" ht="12.75">
      <c r="A361" s="8"/>
      <c r="D361" s="8"/>
    </row>
    <row r="362" ht="12.75">
      <c r="A362" s="8"/>
      <c r="D362" s="8"/>
    </row>
    <row r="363" ht="12.75">
      <c r="A363" s="8"/>
      <c r="D363" s="8"/>
    </row>
    <row r="364" ht="12.75">
      <c r="A364" s="8"/>
      <c r="D364" s="8"/>
    </row>
    <row r="365" ht="12.75">
      <c r="A365" s="8"/>
      <c r="D365" s="8"/>
    </row>
    <row r="366" ht="12.75">
      <c r="A366" s="8"/>
      <c r="D366" s="8"/>
    </row>
    <row r="367" ht="12.75">
      <c r="A367" s="8"/>
      <c r="D367" s="8"/>
    </row>
    <row r="368" ht="12.75">
      <c r="A368" s="8"/>
      <c r="D368" s="8"/>
    </row>
    <row r="369" ht="12.75">
      <c r="A369" s="8"/>
      <c r="D369" s="8"/>
    </row>
    <row r="370" ht="12.75">
      <c r="A370" s="8"/>
      <c r="D370" s="8"/>
    </row>
    <row r="371" ht="12.75">
      <c r="A371" s="8"/>
      <c r="D371" s="8"/>
    </row>
    <row r="372" ht="12.75">
      <c r="A372" s="8"/>
      <c r="D372" s="8"/>
    </row>
    <row r="373" ht="12.75">
      <c r="A373" s="8"/>
      <c r="D373" s="8"/>
    </row>
    <row r="374" ht="12.75">
      <c r="A374" s="8"/>
      <c r="D374" s="8"/>
    </row>
    <row r="375" ht="12.75">
      <c r="A375" s="8"/>
      <c r="D375" s="8"/>
    </row>
    <row r="376" ht="12.75">
      <c r="A376" s="8"/>
      <c r="D376" s="8"/>
    </row>
    <row r="377" ht="12.75">
      <c r="A377" s="8"/>
      <c r="D377" s="8"/>
    </row>
    <row r="378" ht="12.75">
      <c r="A378" s="8"/>
      <c r="D378" s="8"/>
    </row>
    <row r="379" ht="12.75">
      <c r="A379" s="8"/>
      <c r="D379" s="8"/>
    </row>
    <row r="380" ht="12.75">
      <c r="A380" s="8"/>
      <c r="D380" s="8"/>
    </row>
    <row r="381" ht="12.75">
      <c r="A381" s="8"/>
      <c r="D381" s="8"/>
    </row>
    <row r="382" ht="12.75">
      <c r="A382" s="8"/>
      <c r="D382" s="8"/>
    </row>
    <row r="383" ht="12.75">
      <c r="A383" s="8"/>
      <c r="D383" s="8"/>
    </row>
    <row r="384" ht="12.75">
      <c r="A384" s="8"/>
      <c r="D384" s="8"/>
    </row>
    <row r="385" ht="12.75">
      <c r="A385" s="8"/>
      <c r="D385" s="8"/>
    </row>
    <row r="386" ht="12.75">
      <c r="A386" s="8"/>
      <c r="D386" s="8"/>
    </row>
    <row r="387" ht="12.75">
      <c r="A387" s="8"/>
      <c r="D387" s="8"/>
    </row>
    <row r="388" ht="12.75">
      <c r="A388" s="8"/>
      <c r="D388" s="8"/>
    </row>
    <row r="389" ht="12.75">
      <c r="A389" s="8"/>
      <c r="D389" s="8"/>
    </row>
    <row r="390" ht="12.75">
      <c r="A390" s="8"/>
      <c r="D390" s="8"/>
    </row>
    <row r="391" ht="12.75">
      <c r="A391" s="8"/>
      <c r="D391" s="8"/>
    </row>
    <row r="392" ht="12.75">
      <c r="A392" s="8"/>
      <c r="D392" s="8"/>
    </row>
    <row r="393" ht="12.75">
      <c r="A393" s="8"/>
      <c r="D393" s="8"/>
    </row>
    <row r="394" ht="12.75">
      <c r="A394" s="8"/>
      <c r="D394" s="8"/>
    </row>
    <row r="395" ht="12.75">
      <c r="A395" s="8"/>
      <c r="D395" s="8"/>
    </row>
    <row r="396" ht="12.75">
      <c r="A396" s="8"/>
      <c r="D396" s="8"/>
    </row>
    <row r="397" ht="12.75">
      <c r="A397" s="8"/>
      <c r="D397" s="8"/>
    </row>
    <row r="398" ht="12.75">
      <c r="A398" s="8"/>
      <c r="D398" s="8"/>
    </row>
    <row r="399" ht="12.75">
      <c r="A399" s="8"/>
      <c r="D399" s="8"/>
    </row>
    <row r="400" ht="12.75">
      <c r="A400" s="8"/>
      <c r="D400" s="8"/>
    </row>
    <row r="401" ht="12.75">
      <c r="A401" s="8"/>
      <c r="D401" s="8"/>
    </row>
    <row r="402" ht="12.75">
      <c r="A402" s="8"/>
      <c r="D402" s="8"/>
    </row>
    <row r="403" ht="12.75">
      <c r="A403" s="8"/>
      <c r="D403" s="8"/>
    </row>
    <row r="404" ht="12.75">
      <c r="A404" s="8"/>
      <c r="D404" s="8"/>
    </row>
    <row r="405" ht="12.75">
      <c r="A405" s="8"/>
      <c r="D405" s="8"/>
    </row>
    <row r="406" ht="12.75">
      <c r="A406" s="8"/>
      <c r="D406" s="8"/>
    </row>
    <row r="407" ht="12.75">
      <c r="A407" s="8"/>
      <c r="D407" s="8"/>
    </row>
    <row r="408" ht="12.75">
      <c r="A408" s="8"/>
      <c r="D408" s="8"/>
    </row>
    <row r="409" ht="12.75">
      <c r="A409" s="8"/>
      <c r="D409" s="8"/>
    </row>
    <row r="410" ht="12.75">
      <c r="A410" s="8"/>
      <c r="D410" s="8"/>
    </row>
    <row r="411" ht="12.75">
      <c r="A411" s="8"/>
      <c r="D411" s="8"/>
    </row>
    <row r="412" ht="12.75">
      <c r="A412" s="8"/>
      <c r="D412" s="8"/>
    </row>
    <row r="413" ht="12.75">
      <c r="A413" s="8"/>
      <c r="D413" s="8"/>
    </row>
    <row r="414" ht="12.75">
      <c r="A414" s="8"/>
      <c r="D414" s="8"/>
    </row>
    <row r="415" ht="12.75">
      <c r="A415" s="8"/>
      <c r="D415" s="8"/>
    </row>
    <row r="416" ht="12.75">
      <c r="A416" s="8"/>
      <c r="D416" s="8"/>
    </row>
    <row r="417" ht="12.75">
      <c r="A417" s="8"/>
      <c r="D417" s="8"/>
    </row>
    <row r="418" ht="12.75">
      <c r="A418" s="8"/>
      <c r="D418" s="8"/>
    </row>
    <row r="419" ht="12.75">
      <c r="A419" s="8"/>
      <c r="D419" s="8"/>
    </row>
    <row r="420" ht="12.75">
      <c r="A420" s="8"/>
      <c r="D420" s="8"/>
    </row>
    <row r="421" ht="12.75">
      <c r="A421" s="8"/>
      <c r="D421" s="8"/>
    </row>
    <row r="422" ht="12.75">
      <c r="A422" s="8"/>
      <c r="D422" s="8"/>
    </row>
    <row r="423" ht="12.75">
      <c r="A423" s="8"/>
      <c r="D423" s="8"/>
    </row>
    <row r="424" ht="12.75">
      <c r="A424" s="8"/>
      <c r="D424" s="8"/>
    </row>
    <row r="425" ht="12.75">
      <c r="A425" s="8"/>
      <c r="D425" s="8"/>
    </row>
    <row r="426" ht="12.75">
      <c r="A426" s="8"/>
      <c r="D426" s="8"/>
    </row>
    <row r="427" ht="12.75">
      <c r="A427" s="8"/>
      <c r="D427" s="8"/>
    </row>
    <row r="428" ht="12.75">
      <c r="A428" s="8"/>
      <c r="D428" s="8"/>
    </row>
    <row r="429" ht="12.75">
      <c r="A429" s="8"/>
      <c r="D429" s="8"/>
    </row>
    <row r="430" ht="12.75">
      <c r="A430" s="8"/>
      <c r="D430" s="8"/>
    </row>
    <row r="431" ht="12.75">
      <c r="A431" s="8"/>
      <c r="D431" s="8"/>
    </row>
    <row r="432" ht="12.75">
      <c r="A432" s="8"/>
      <c r="D432" s="8"/>
    </row>
    <row r="433" ht="12.75">
      <c r="A433" s="8"/>
      <c r="D433" s="8"/>
    </row>
    <row r="434" ht="12.75">
      <c r="A434" s="8"/>
      <c r="D434" s="8"/>
    </row>
    <row r="435" ht="12.75">
      <c r="A435" s="8"/>
      <c r="D435" s="8"/>
    </row>
    <row r="436" ht="12.75">
      <c r="A436" s="8"/>
      <c r="D436" s="8"/>
    </row>
    <row r="437" ht="12.75">
      <c r="A437" s="8"/>
      <c r="D437" s="8"/>
    </row>
    <row r="438" ht="12.75">
      <c r="A438" s="8"/>
      <c r="D438" s="8"/>
    </row>
    <row r="439" ht="12.75">
      <c r="A439" s="8"/>
      <c r="D439" s="8"/>
    </row>
    <row r="440" ht="12.75">
      <c r="A440" s="8"/>
      <c r="D440" s="8"/>
    </row>
    <row r="441" ht="12.75">
      <c r="A441" s="8"/>
      <c r="D441" s="8"/>
    </row>
    <row r="442" ht="12.75">
      <c r="A442" s="8"/>
      <c r="D442" s="8"/>
    </row>
    <row r="443" ht="12.75">
      <c r="A443" s="8"/>
      <c r="D443" s="8"/>
    </row>
    <row r="444" ht="12.75">
      <c r="A444" s="8"/>
      <c r="D444" s="8"/>
    </row>
    <row r="445" ht="12.75">
      <c r="A445" s="8"/>
      <c r="D445" s="8"/>
    </row>
    <row r="446" ht="12.75">
      <c r="A446" s="8"/>
      <c r="D446" s="8"/>
    </row>
    <row r="447" ht="12.75">
      <c r="A447" s="8"/>
      <c r="D447" s="8"/>
    </row>
    <row r="448" ht="12.75">
      <c r="A448" s="8"/>
      <c r="D448" s="8"/>
    </row>
    <row r="449" ht="12.75">
      <c r="A449" s="8"/>
      <c r="D449" s="8"/>
    </row>
    <row r="450" ht="12.75">
      <c r="A450" s="8"/>
      <c r="D450" s="8"/>
    </row>
    <row r="451" ht="12.75">
      <c r="A451" s="8"/>
      <c r="D451" s="8"/>
    </row>
    <row r="452" ht="12.75">
      <c r="A452" s="8"/>
      <c r="D452" s="8"/>
    </row>
    <row r="453" ht="12.75">
      <c r="A453" s="8"/>
      <c r="D453" s="8"/>
    </row>
    <row r="454" ht="12.75">
      <c r="A454" s="8"/>
      <c r="D454" s="8"/>
    </row>
    <row r="455" ht="12.75">
      <c r="A455" s="8"/>
      <c r="D455" s="8"/>
    </row>
    <row r="456" ht="12.75">
      <c r="A456" s="8"/>
      <c r="D456" s="8"/>
    </row>
    <row r="457" ht="12.75">
      <c r="A457" s="8"/>
      <c r="D457" s="8"/>
    </row>
    <row r="458" ht="12.75">
      <c r="A458" s="8"/>
      <c r="D458" s="8"/>
    </row>
    <row r="459" ht="12.75">
      <c r="A459" s="8"/>
      <c r="D459" s="8"/>
    </row>
    <row r="460" ht="12.75">
      <c r="A460" s="8"/>
      <c r="D460" s="8"/>
    </row>
    <row r="461" ht="12.75">
      <c r="A461" s="8"/>
      <c r="D461" s="8"/>
    </row>
    <row r="462" ht="12.75">
      <c r="A462" s="8"/>
      <c r="D462" s="8"/>
    </row>
    <row r="463" ht="12.75">
      <c r="A463" s="8"/>
      <c r="D463" s="8"/>
    </row>
    <row r="464" ht="12.75">
      <c r="A464" s="8"/>
      <c r="D464" s="8"/>
    </row>
    <row r="465" ht="12.75">
      <c r="A465" s="8"/>
      <c r="D465" s="8"/>
    </row>
    <row r="466" ht="12.75">
      <c r="A466" s="8"/>
      <c r="D466" s="8"/>
    </row>
    <row r="467" ht="12.75">
      <c r="A467" s="8"/>
      <c r="D467" s="8"/>
    </row>
    <row r="468" ht="12.75">
      <c r="A468" s="8"/>
      <c r="D468" s="8"/>
    </row>
    <row r="469" ht="12.75">
      <c r="A469" s="8"/>
      <c r="D469" s="8"/>
    </row>
    <row r="470" ht="12.75">
      <c r="A470" s="8"/>
      <c r="D470" s="8"/>
    </row>
    <row r="471" ht="12.75">
      <c r="A471" s="8"/>
      <c r="D471" s="8"/>
    </row>
    <row r="472" ht="12.75">
      <c r="A472" s="8"/>
      <c r="D472" s="8"/>
    </row>
    <row r="473" ht="12.75">
      <c r="A473" s="8"/>
      <c r="D473" s="8"/>
    </row>
    <row r="474" ht="12.75">
      <c r="A474" s="8"/>
      <c r="D474" s="8"/>
    </row>
    <row r="475" ht="12.75">
      <c r="A475" s="8"/>
      <c r="D475" s="8"/>
    </row>
    <row r="476" ht="12.75">
      <c r="A476" s="8"/>
      <c r="D476" s="8"/>
    </row>
    <row r="477" ht="12.75">
      <c r="A477" s="8"/>
      <c r="D477" s="8"/>
    </row>
    <row r="478" ht="12.75">
      <c r="A478" s="8"/>
      <c r="D478" s="8"/>
    </row>
    <row r="479" ht="12.75">
      <c r="A479" s="8"/>
      <c r="D479" s="8"/>
    </row>
    <row r="480" ht="12.75">
      <c r="A480" s="8"/>
      <c r="D480" s="8"/>
    </row>
    <row r="481" ht="12.75">
      <c r="A481" s="8"/>
      <c r="D481" s="8"/>
    </row>
    <row r="482" ht="12.75">
      <c r="A482" s="8"/>
      <c r="D482" s="8"/>
    </row>
    <row r="483" ht="12.75">
      <c r="A483" s="8"/>
      <c r="D483" s="8"/>
    </row>
    <row r="484" ht="12.75">
      <c r="A484" s="8"/>
      <c r="D484" s="8"/>
    </row>
    <row r="485" ht="12.75">
      <c r="A485" s="8"/>
      <c r="D485" s="8"/>
    </row>
    <row r="486" ht="12.75">
      <c r="A486" s="8"/>
      <c r="D486" s="8"/>
    </row>
    <row r="487" ht="12.75">
      <c r="A487" s="8"/>
      <c r="D487" s="8"/>
    </row>
    <row r="488" ht="12.75">
      <c r="A488" s="8"/>
      <c r="D488" s="8"/>
    </row>
    <row r="489" ht="12.75">
      <c r="A489" s="8"/>
      <c r="D489" s="8"/>
    </row>
    <row r="490" ht="12.75">
      <c r="A490" s="8"/>
      <c r="D490" s="8"/>
    </row>
    <row r="491" ht="12.75">
      <c r="A491" s="8"/>
      <c r="D491" s="8"/>
    </row>
    <row r="492" ht="12.75">
      <c r="A492" s="8"/>
      <c r="D492" s="8"/>
    </row>
    <row r="493" ht="12.75">
      <c r="A493" s="8"/>
      <c r="D493" s="8"/>
    </row>
    <row r="494" ht="12.75">
      <c r="A494" s="8"/>
      <c r="D494" s="8"/>
    </row>
    <row r="495" ht="12.75">
      <c r="A495" s="8"/>
      <c r="D495" s="8"/>
    </row>
    <row r="496" ht="12.75">
      <c r="A496" s="8"/>
      <c r="D496" s="8"/>
    </row>
    <row r="497" ht="12.75">
      <c r="A497" s="8"/>
      <c r="D497" s="8"/>
    </row>
    <row r="498" ht="12.75">
      <c r="A498" s="8"/>
      <c r="D498" s="8"/>
    </row>
    <row r="499" ht="12.75">
      <c r="A499" s="8"/>
      <c r="D499" s="8"/>
    </row>
    <row r="500" ht="12.75">
      <c r="A500" s="8"/>
      <c r="D500" s="8"/>
    </row>
    <row r="501" ht="12.75">
      <c r="A501" s="8"/>
      <c r="D501" s="8"/>
    </row>
    <row r="502" ht="12.75">
      <c r="A502" s="8"/>
      <c r="D502" s="8"/>
    </row>
    <row r="503" ht="12.75">
      <c r="A503" s="8"/>
      <c r="D503" s="8"/>
    </row>
    <row r="504" ht="12.75">
      <c r="A504" s="8"/>
      <c r="D504" s="8"/>
    </row>
    <row r="505" ht="12.75">
      <c r="A505" s="8"/>
      <c r="D505" s="8"/>
    </row>
    <row r="506" ht="12.75">
      <c r="A506" s="8"/>
      <c r="D506" s="8"/>
    </row>
    <row r="507" ht="12.75">
      <c r="A507" s="8"/>
      <c r="D507" s="8"/>
    </row>
    <row r="508" ht="12.75">
      <c r="A508" s="8"/>
      <c r="D508" s="8"/>
    </row>
    <row r="509" ht="12.75">
      <c r="A509" s="8"/>
      <c r="D509" s="8"/>
    </row>
    <row r="510" ht="12.75">
      <c r="A510" s="8"/>
      <c r="D510" s="8"/>
    </row>
    <row r="511" ht="12.75">
      <c r="A511" s="8"/>
      <c r="D511" s="8"/>
    </row>
    <row r="512" ht="12.75">
      <c r="A512" s="8"/>
      <c r="D512" s="8"/>
    </row>
    <row r="513" ht="12.75">
      <c r="A513" s="8"/>
      <c r="D513" s="8"/>
    </row>
    <row r="514" ht="12.75">
      <c r="A514" s="8"/>
      <c r="D514" s="8"/>
    </row>
    <row r="515" ht="12.75">
      <c r="A515" s="8"/>
      <c r="D515" s="8"/>
    </row>
    <row r="516" ht="12.75">
      <c r="A516" s="8"/>
      <c r="D516" s="8"/>
    </row>
    <row r="517" ht="12.75">
      <c r="A517" s="8"/>
      <c r="D517" s="8"/>
    </row>
    <row r="518" ht="12.75">
      <c r="A518" s="8"/>
      <c r="D518" s="8"/>
    </row>
    <row r="519" ht="12.75">
      <c r="A519" s="8"/>
      <c r="D519" s="8"/>
    </row>
    <row r="520" ht="12.75">
      <c r="A520" s="8"/>
      <c r="D520" s="8"/>
    </row>
    <row r="521" ht="12.75">
      <c r="A521" s="8"/>
      <c r="D521" s="8"/>
    </row>
    <row r="522" ht="12.75">
      <c r="A522" s="8"/>
      <c r="D522" s="8"/>
    </row>
    <row r="523" ht="12.75">
      <c r="A523" s="8"/>
      <c r="D523" s="8"/>
    </row>
    <row r="524" ht="12.75">
      <c r="A524" s="8"/>
      <c r="D524" s="8"/>
    </row>
    <row r="525" ht="12.75">
      <c r="A525" s="8"/>
      <c r="D525" s="8"/>
    </row>
    <row r="526" ht="12.75">
      <c r="A526" s="8"/>
      <c r="D526" s="8"/>
    </row>
    <row r="527" ht="12.75">
      <c r="A527" s="8"/>
      <c r="D527" s="8"/>
    </row>
    <row r="528" ht="12.75">
      <c r="A528" s="8"/>
      <c r="D528" s="8"/>
    </row>
    <row r="529" ht="12.75">
      <c r="A529" s="8"/>
      <c r="D529" s="8"/>
    </row>
    <row r="530" ht="12.75">
      <c r="A530" s="8"/>
      <c r="D530" s="8"/>
    </row>
    <row r="531" ht="12.75">
      <c r="A531" s="8"/>
      <c r="D531" s="8"/>
    </row>
    <row r="532" ht="12.75">
      <c r="A532" s="8"/>
      <c r="D532" s="8"/>
    </row>
    <row r="533" ht="12.75">
      <c r="A533" s="8"/>
      <c r="D533" s="8"/>
    </row>
    <row r="534" ht="12.75">
      <c r="A534" s="8"/>
      <c r="D534" s="8"/>
    </row>
    <row r="535" ht="12.75">
      <c r="A535" s="8"/>
      <c r="D535" s="8"/>
    </row>
    <row r="536" ht="12.75">
      <c r="A536" s="8"/>
      <c r="D536" s="8"/>
    </row>
    <row r="537" ht="12.75">
      <c r="A537" s="8"/>
      <c r="D537" s="8"/>
    </row>
    <row r="538" ht="12.75">
      <c r="A538" s="8"/>
      <c r="D538" s="8"/>
    </row>
    <row r="539" ht="12.75">
      <c r="A539" s="8"/>
      <c r="D539" s="8"/>
    </row>
    <row r="540" ht="12.75">
      <c r="A540" s="8"/>
      <c r="D540" s="8"/>
    </row>
    <row r="541" ht="12.75">
      <c r="A541" s="8"/>
      <c r="D541" s="8"/>
    </row>
    <row r="542" ht="12.75">
      <c r="A542" s="8"/>
      <c r="D542" s="8"/>
    </row>
    <row r="543" ht="12.75">
      <c r="A543" s="8"/>
      <c r="D543" s="8"/>
    </row>
    <row r="544" ht="12.75">
      <c r="A544" s="8"/>
      <c r="D544" s="8"/>
    </row>
    <row r="545" ht="12.75">
      <c r="A545" s="8"/>
      <c r="D545" s="8"/>
    </row>
    <row r="546" ht="12.75">
      <c r="A546" s="8"/>
      <c r="D546" s="8"/>
    </row>
    <row r="547" ht="12.75">
      <c r="A547" s="8"/>
      <c r="D547" s="8"/>
    </row>
    <row r="548" ht="12.75">
      <c r="A548" s="8"/>
      <c r="D548" s="8"/>
    </row>
    <row r="549" ht="12.75">
      <c r="A549" s="8"/>
      <c r="D549" s="8"/>
    </row>
    <row r="550" ht="12.75">
      <c r="A550" s="8"/>
      <c r="D550" s="8"/>
    </row>
    <row r="551" ht="12.75">
      <c r="A551" s="8"/>
      <c r="D551" s="8"/>
    </row>
    <row r="552" ht="12.75">
      <c r="A552" s="8"/>
      <c r="D552" s="8"/>
    </row>
    <row r="553" ht="12.75">
      <c r="A553" s="8"/>
      <c r="D553" s="8"/>
    </row>
    <row r="554" ht="12.75">
      <c r="A554" s="8"/>
      <c r="D554" s="8"/>
    </row>
    <row r="555" ht="12.75">
      <c r="A555" s="8"/>
      <c r="D555" s="8"/>
    </row>
    <row r="556" ht="12.75">
      <c r="A556" s="8"/>
      <c r="D556" s="8"/>
    </row>
    <row r="557" ht="12.75">
      <c r="A557" s="8"/>
      <c r="D557" s="8"/>
    </row>
    <row r="558" ht="12.75">
      <c r="A558" s="8"/>
      <c r="D558" s="8"/>
    </row>
    <row r="559" ht="12.75">
      <c r="A559" s="8"/>
      <c r="D559" s="8"/>
    </row>
    <row r="560" ht="12.75">
      <c r="A560" s="8"/>
      <c r="D560" s="8"/>
    </row>
    <row r="561" ht="12.75">
      <c r="A561" s="8"/>
      <c r="D561" s="8"/>
    </row>
    <row r="562" ht="12.75">
      <c r="A562" s="8"/>
      <c r="D562" s="8"/>
    </row>
    <row r="563" ht="12.75">
      <c r="A563" s="8"/>
      <c r="D563" s="8"/>
    </row>
    <row r="564" ht="12.75">
      <c r="A564" s="8"/>
      <c r="D564" s="8"/>
    </row>
    <row r="565" ht="12.75">
      <c r="A565" s="8"/>
      <c r="D565" s="8"/>
    </row>
    <row r="566" ht="12.75">
      <c r="A566" s="8"/>
      <c r="D566" s="8"/>
    </row>
    <row r="567" ht="12.75">
      <c r="A567" s="8"/>
      <c r="D567" s="8"/>
    </row>
    <row r="568" ht="12.75">
      <c r="A568" s="8"/>
      <c r="D568" s="8"/>
    </row>
    <row r="569" ht="12.75">
      <c r="A569" s="8"/>
      <c r="D569" s="8"/>
    </row>
    <row r="570" ht="12.75">
      <c r="A570" s="8"/>
      <c r="D570" s="8"/>
    </row>
    <row r="571" ht="12.75">
      <c r="A571" s="8"/>
      <c r="D571" s="8"/>
    </row>
    <row r="572" ht="12.75">
      <c r="A572" s="8"/>
      <c r="D572" s="8"/>
    </row>
    <row r="573" ht="12.75">
      <c r="A573" s="8"/>
      <c r="D573" s="8"/>
    </row>
    <row r="574" ht="12.75">
      <c r="A574" s="8"/>
      <c r="D574" s="8"/>
    </row>
    <row r="575" ht="12.75">
      <c r="A575" s="8"/>
      <c r="D575" s="8"/>
    </row>
    <row r="576" ht="12.75">
      <c r="A576" s="8"/>
      <c r="D576" s="8"/>
    </row>
    <row r="577" ht="12.75">
      <c r="A577" s="8"/>
      <c r="D577" s="8"/>
    </row>
    <row r="578" ht="12.75">
      <c r="A578" s="8"/>
      <c r="D578" s="8"/>
    </row>
    <row r="579" ht="12.75">
      <c r="A579" s="8"/>
      <c r="D579" s="8"/>
    </row>
    <row r="580" ht="12.75">
      <c r="A580" s="8"/>
      <c r="D580" s="8"/>
    </row>
    <row r="581" ht="12.75">
      <c r="A581" s="8"/>
      <c r="D581" s="8"/>
    </row>
    <row r="582" ht="12.75">
      <c r="A582" s="8"/>
      <c r="D582" s="8"/>
    </row>
    <row r="583" ht="12.75">
      <c r="A583" s="8"/>
      <c r="D583" s="8"/>
    </row>
    <row r="584" ht="12.75">
      <c r="A584" s="8"/>
      <c r="D584" s="8"/>
    </row>
    <row r="585" ht="12.75">
      <c r="A585" s="8"/>
      <c r="D585" s="8"/>
    </row>
    <row r="586" ht="12.75">
      <c r="A586" s="8"/>
      <c r="D586" s="8"/>
    </row>
    <row r="587" ht="12.75">
      <c r="A587" s="8"/>
      <c r="D587" s="8"/>
    </row>
    <row r="588" ht="12.75">
      <c r="A588" s="8"/>
      <c r="D588" s="8"/>
    </row>
    <row r="589" ht="12.75">
      <c r="A589" s="8"/>
      <c r="D589" s="8"/>
    </row>
    <row r="590" ht="12.75">
      <c r="A590" s="8"/>
      <c r="D590" s="8"/>
    </row>
    <row r="591" ht="12.75">
      <c r="A591" s="8"/>
      <c r="D591" s="8"/>
    </row>
    <row r="592" ht="12.75">
      <c r="A592" s="8"/>
      <c r="D592" s="8"/>
    </row>
    <row r="593" ht="12.75">
      <c r="A593" s="8"/>
      <c r="D593" s="8"/>
    </row>
    <row r="594" ht="12.75">
      <c r="A594" s="8"/>
      <c r="D594" s="8"/>
    </row>
    <row r="595" ht="12.75">
      <c r="A595" s="8"/>
      <c r="D595" s="8"/>
    </row>
    <row r="596" ht="12.75">
      <c r="A596" s="8"/>
      <c r="D596" s="8"/>
    </row>
    <row r="597" ht="12.75">
      <c r="A597" s="8"/>
      <c r="D597" s="8"/>
    </row>
    <row r="598" ht="12.75">
      <c r="A598" s="8"/>
      <c r="D598" s="8"/>
    </row>
    <row r="599" ht="12.75">
      <c r="A599" s="8"/>
      <c r="D599" s="8"/>
    </row>
    <row r="600" ht="12.75">
      <c r="A600" s="8"/>
      <c r="D600" s="8"/>
    </row>
    <row r="601" ht="12.75">
      <c r="A601" s="8"/>
      <c r="D601" s="8"/>
    </row>
    <row r="602" ht="12.75">
      <c r="A602" s="8"/>
      <c r="D602" s="8"/>
    </row>
    <row r="603" ht="12.75">
      <c r="A603" s="8"/>
      <c r="D603" s="8"/>
    </row>
    <row r="604" ht="12.75">
      <c r="A604" s="8"/>
      <c r="D604" s="8"/>
    </row>
    <row r="605" ht="12.75">
      <c r="A605" s="8"/>
      <c r="D605" s="8"/>
    </row>
    <row r="606" ht="12.75">
      <c r="A606" s="8"/>
      <c r="D606" s="8"/>
    </row>
    <row r="607" ht="12.75">
      <c r="A607" s="8"/>
      <c r="D607" s="8"/>
    </row>
    <row r="608" ht="12.75">
      <c r="A608" s="8"/>
      <c r="D608" s="8"/>
    </row>
    <row r="609" ht="12.75">
      <c r="A609" s="8"/>
      <c r="D609" s="8"/>
    </row>
    <row r="610" ht="12.75">
      <c r="A610" s="8"/>
      <c r="D610" s="8"/>
    </row>
    <row r="611" ht="12.75">
      <c r="A611" s="8"/>
      <c r="D611" s="8"/>
    </row>
    <row r="612" ht="12.75">
      <c r="A612" s="8"/>
      <c r="D612" s="8"/>
    </row>
    <row r="613" ht="12.75">
      <c r="A613" s="8"/>
      <c r="D613" s="8"/>
    </row>
    <row r="614" ht="12.75">
      <c r="A614" s="8"/>
      <c r="D614" s="8"/>
    </row>
    <row r="615" ht="12.75">
      <c r="A615" s="8"/>
      <c r="D615" s="8"/>
    </row>
    <row r="616" ht="12.75">
      <c r="A616" s="8"/>
      <c r="D616" s="8"/>
    </row>
    <row r="617" ht="12.75">
      <c r="A617" s="8"/>
      <c r="D617" s="8"/>
    </row>
    <row r="618" ht="12.75">
      <c r="A618" s="8"/>
      <c r="D618" s="8"/>
    </row>
    <row r="619" ht="12.75">
      <c r="A619" s="8"/>
      <c r="D619" s="8"/>
    </row>
    <row r="620" ht="12.75">
      <c r="A620" s="8"/>
      <c r="D620" s="8"/>
    </row>
    <row r="621" ht="12.75">
      <c r="A621" s="8"/>
      <c r="D621" s="8"/>
    </row>
    <row r="622" ht="12.75">
      <c r="A622" s="8"/>
      <c r="D622" s="8"/>
    </row>
    <row r="623" ht="12.75">
      <c r="A623" s="8"/>
      <c r="D623" s="8"/>
    </row>
    <row r="624" ht="12.75">
      <c r="A624" s="8"/>
      <c r="D624" s="8"/>
    </row>
    <row r="625" ht="12.75">
      <c r="A625" s="8"/>
      <c r="D625" s="8"/>
    </row>
    <row r="626" ht="12.75">
      <c r="A626" s="8"/>
      <c r="D626" s="8"/>
    </row>
    <row r="627" ht="12.75">
      <c r="A627" s="8"/>
      <c r="D627" s="8"/>
    </row>
    <row r="628" ht="12.75">
      <c r="A628" s="8"/>
      <c r="D628" s="8"/>
    </row>
    <row r="629" ht="12.75">
      <c r="A629" s="8"/>
      <c r="D629" s="8"/>
    </row>
    <row r="630" ht="12.75">
      <c r="A630" s="8"/>
      <c r="D630" s="8"/>
    </row>
    <row r="631" ht="12.75">
      <c r="A631" s="8"/>
      <c r="D631" s="8"/>
    </row>
    <row r="632" ht="12.75">
      <c r="A632" s="8"/>
      <c r="D632" s="8"/>
    </row>
    <row r="633" ht="12.75">
      <c r="A633" s="8"/>
      <c r="D633" s="8"/>
    </row>
    <row r="634" ht="12.75">
      <c r="A634" s="8"/>
      <c r="D634" s="8"/>
    </row>
    <row r="635" ht="12.75">
      <c r="A635" s="8"/>
      <c r="D635" s="8"/>
    </row>
    <row r="636" ht="12.75">
      <c r="A636" s="8"/>
      <c r="D636" s="8"/>
    </row>
    <row r="637" ht="12.75">
      <c r="A637" s="8"/>
      <c r="D637" s="8"/>
    </row>
    <row r="638" ht="12.75">
      <c r="A638" s="8"/>
      <c r="D638" s="8"/>
    </row>
    <row r="639" ht="12.75">
      <c r="A639" s="8"/>
      <c r="D639" s="8"/>
    </row>
    <row r="640" ht="12.75">
      <c r="A640" s="8"/>
      <c r="D640" s="8"/>
    </row>
    <row r="641" ht="12.75">
      <c r="A641" s="8"/>
      <c r="D641" s="8"/>
    </row>
    <row r="642" ht="12.75">
      <c r="A642" s="8"/>
      <c r="D642" s="8"/>
    </row>
    <row r="643" ht="12.75">
      <c r="A643" s="8"/>
      <c r="D643" s="8"/>
    </row>
    <row r="644" ht="12.75">
      <c r="A644" s="8"/>
      <c r="D644" s="8"/>
    </row>
    <row r="645" ht="12.75">
      <c r="A645" s="8"/>
      <c r="D645" s="8"/>
    </row>
    <row r="646" ht="12.75">
      <c r="A646" s="8"/>
      <c r="D646" s="8"/>
    </row>
    <row r="647" ht="12.75">
      <c r="A647" s="8"/>
      <c r="D647" s="8"/>
    </row>
    <row r="648" ht="12.75">
      <c r="A648" s="8"/>
      <c r="D648" s="8"/>
    </row>
    <row r="649" ht="12.75">
      <c r="A649" s="8"/>
      <c r="D649" s="8"/>
    </row>
    <row r="650" ht="12.75">
      <c r="A650" s="8"/>
      <c r="D650" s="8"/>
    </row>
    <row r="651" ht="12.75">
      <c r="A651" s="8"/>
      <c r="D651" s="8"/>
    </row>
    <row r="652" ht="12.75">
      <c r="A652" s="8"/>
      <c r="D652" s="8"/>
    </row>
    <row r="653" ht="12.75">
      <c r="A653" s="8"/>
      <c r="D653" s="8"/>
    </row>
    <row r="654" ht="12.75">
      <c r="A654" s="8"/>
      <c r="D654" s="8"/>
    </row>
    <row r="655" ht="12.75">
      <c r="A655" s="8"/>
      <c r="D655" s="8"/>
    </row>
    <row r="656" ht="12.75">
      <c r="A656" s="8"/>
      <c r="D656" s="8"/>
    </row>
    <row r="657" ht="12.75">
      <c r="A657" s="8"/>
      <c r="D657" s="8"/>
    </row>
    <row r="658" ht="12.75">
      <c r="A658" s="8"/>
      <c r="D658" s="8"/>
    </row>
    <row r="659" ht="12.75">
      <c r="A659" s="8"/>
      <c r="D659" s="8"/>
    </row>
    <row r="660" ht="12.75">
      <c r="A660" s="8"/>
      <c r="D660" s="8"/>
    </row>
    <row r="661" ht="12.75">
      <c r="A661" s="8"/>
      <c r="D661" s="8"/>
    </row>
    <row r="662" ht="12.75">
      <c r="A662" s="8"/>
      <c r="D662" s="8"/>
    </row>
    <row r="663" ht="12.75">
      <c r="A663" s="8"/>
      <c r="D663" s="8"/>
    </row>
    <row r="664" ht="12.75">
      <c r="A664" s="8"/>
      <c r="D664" s="8"/>
    </row>
    <row r="665" ht="12.75">
      <c r="A665" s="8"/>
      <c r="D665" s="8"/>
    </row>
    <row r="666" ht="12.75">
      <c r="A666" s="8"/>
      <c r="D666" s="8"/>
    </row>
    <row r="667" ht="12.75">
      <c r="A667" s="8"/>
      <c r="D667" s="8"/>
    </row>
    <row r="668" ht="12.75">
      <c r="A668" s="8"/>
      <c r="D668" s="8"/>
    </row>
    <row r="669" ht="12.75">
      <c r="A669" s="8"/>
      <c r="D669" s="8"/>
    </row>
    <row r="670" ht="12.75">
      <c r="A670" s="8"/>
      <c r="D670" s="8"/>
    </row>
    <row r="671" ht="12.75">
      <c r="A671" s="8"/>
      <c r="D671" s="8"/>
    </row>
    <row r="672" ht="12.75">
      <c r="A672" s="8"/>
      <c r="D672" s="8"/>
    </row>
    <row r="673" ht="12.75">
      <c r="A673" s="8"/>
      <c r="D673" s="8"/>
    </row>
    <row r="674" ht="12.75">
      <c r="A674" s="8"/>
      <c r="D674" s="8"/>
    </row>
    <row r="675" ht="12.75">
      <c r="A675" s="8"/>
      <c r="D675" s="8"/>
    </row>
    <row r="676" ht="12.75">
      <c r="A676" s="8"/>
      <c r="D676" s="8"/>
    </row>
    <row r="677" ht="12.75">
      <c r="A677" s="8"/>
      <c r="D677" s="8"/>
    </row>
    <row r="678" ht="12.75">
      <c r="A678" s="8"/>
      <c r="D678" s="8"/>
    </row>
    <row r="679" ht="12.75">
      <c r="A679" s="8"/>
      <c r="D679" s="8"/>
    </row>
    <row r="680" ht="12.75">
      <c r="A680" s="8"/>
      <c r="D680" s="8"/>
    </row>
    <row r="681" ht="12.75">
      <c r="A681" s="8"/>
      <c r="D681" s="8"/>
    </row>
    <row r="682" ht="12.75">
      <c r="A682" s="8"/>
      <c r="D682" s="8"/>
    </row>
    <row r="683" ht="12.75">
      <c r="A683" s="8"/>
      <c r="D683" s="8"/>
    </row>
    <row r="684" ht="12.75">
      <c r="A684" s="8"/>
      <c r="D684" s="8"/>
    </row>
    <row r="685" ht="12.75">
      <c r="A685" s="8"/>
      <c r="D685" s="8"/>
    </row>
    <row r="686" ht="12.75">
      <c r="A686" s="8"/>
      <c r="D686" s="8"/>
    </row>
    <row r="687" ht="12.75">
      <c r="A687" s="8"/>
      <c r="D687" s="8"/>
    </row>
    <row r="688" ht="12.75">
      <c r="A688" s="8"/>
      <c r="D688" s="8"/>
    </row>
    <row r="689" ht="12.75">
      <c r="A689" s="8"/>
      <c r="D689" s="8"/>
    </row>
    <row r="690" ht="12.75">
      <c r="A690" s="8"/>
      <c r="D690" s="8"/>
    </row>
    <row r="691" ht="12.75">
      <c r="A691" s="8"/>
      <c r="D691" s="8"/>
    </row>
    <row r="692" ht="12.75">
      <c r="A692" s="8"/>
      <c r="D692" s="8"/>
    </row>
    <row r="693" ht="12.75">
      <c r="A693" s="8"/>
      <c r="D693" s="8"/>
    </row>
    <row r="694" ht="12.75">
      <c r="A694" s="8"/>
      <c r="D694" s="8"/>
    </row>
    <row r="695" ht="12.75">
      <c r="A695" s="8"/>
      <c r="D695" s="8"/>
    </row>
    <row r="696" ht="12.75">
      <c r="A696" s="8"/>
      <c r="D696" s="8"/>
    </row>
    <row r="697" ht="12.75">
      <c r="A697" s="8"/>
      <c r="D697" s="8"/>
    </row>
    <row r="698" ht="12.75">
      <c r="A698" s="8"/>
      <c r="D698" s="8"/>
    </row>
    <row r="699" ht="12.75">
      <c r="A699" s="8"/>
      <c r="D699" s="8"/>
    </row>
    <row r="700" ht="12.75">
      <c r="A700" s="8"/>
      <c r="D700" s="8"/>
    </row>
    <row r="701" ht="12.75">
      <c r="A701" s="8"/>
      <c r="D701" s="8"/>
    </row>
    <row r="702" ht="12.75">
      <c r="A702" s="8"/>
      <c r="D702" s="8"/>
    </row>
    <row r="703" ht="12.75">
      <c r="A703" s="8"/>
      <c r="D703" s="8"/>
    </row>
    <row r="704" ht="12.75">
      <c r="A704" s="8"/>
      <c r="D704" s="8"/>
    </row>
    <row r="705" ht="12.75">
      <c r="A705" s="8"/>
      <c r="D705" s="8"/>
    </row>
    <row r="706" ht="12.75">
      <c r="A706" s="8"/>
      <c r="D706" s="8"/>
    </row>
    <row r="707" ht="12.75">
      <c r="A707" s="8"/>
      <c r="D707" s="8"/>
    </row>
    <row r="708" ht="12.75">
      <c r="A708" s="8"/>
      <c r="D708" s="8"/>
    </row>
    <row r="709" ht="12.75">
      <c r="A709" s="8"/>
      <c r="D709" s="8"/>
    </row>
    <row r="710" ht="12.75">
      <c r="A710" s="8"/>
      <c r="D710" s="8"/>
    </row>
    <row r="711" ht="12.75">
      <c r="A711" s="8"/>
      <c r="D711" s="8"/>
    </row>
    <row r="712" ht="12.75">
      <c r="A712" s="8"/>
      <c r="D712" s="8"/>
    </row>
    <row r="713" ht="12.75">
      <c r="A713" s="8"/>
      <c r="D713" s="8"/>
    </row>
    <row r="714" ht="12.75">
      <c r="A714" s="8"/>
      <c r="D714" s="8"/>
    </row>
    <row r="715" ht="12.75">
      <c r="A715" s="8"/>
      <c r="D715" s="8"/>
    </row>
    <row r="716" ht="12.75">
      <c r="A716" s="8"/>
      <c r="D716" s="8"/>
    </row>
    <row r="717" ht="12.75">
      <c r="A717" s="8"/>
      <c r="D717" s="8"/>
    </row>
    <row r="718" ht="12.75">
      <c r="A718" s="8"/>
      <c r="D718" s="8"/>
    </row>
    <row r="719" ht="12.75">
      <c r="A719" s="8"/>
      <c r="D719" s="8"/>
    </row>
    <row r="720" ht="12.75">
      <c r="A720" s="8"/>
      <c r="D720" s="8"/>
    </row>
    <row r="721" ht="12.75">
      <c r="A721" s="8"/>
      <c r="D721" s="8"/>
    </row>
    <row r="722" ht="12.75">
      <c r="A722" s="8"/>
      <c r="D722" s="8"/>
    </row>
    <row r="723" ht="12.75">
      <c r="A723" s="8"/>
      <c r="D723" s="8"/>
    </row>
    <row r="724" ht="12.75">
      <c r="A724" s="8"/>
      <c r="D724" s="8"/>
    </row>
    <row r="725" ht="12.75">
      <c r="A725" s="8"/>
      <c r="D725" s="8"/>
    </row>
    <row r="726" ht="12.75">
      <c r="A726" s="8"/>
      <c r="D726" s="8"/>
    </row>
    <row r="727" ht="12.75">
      <c r="A727" s="8"/>
      <c r="D727" s="8"/>
    </row>
    <row r="728" ht="12.75">
      <c r="A728" s="8"/>
      <c r="D728" s="8"/>
    </row>
    <row r="729" ht="12.75">
      <c r="A729" s="8"/>
      <c r="D729" s="8"/>
    </row>
    <row r="730" ht="12.75">
      <c r="A730" s="8"/>
      <c r="D730" s="8"/>
    </row>
    <row r="731" ht="12.75">
      <c r="A731" s="8"/>
      <c r="D731" s="8"/>
    </row>
    <row r="732" ht="12.75">
      <c r="A732" s="8"/>
      <c r="D732" s="8"/>
    </row>
    <row r="733" ht="12.75">
      <c r="A733" s="8"/>
      <c r="D733" s="8"/>
    </row>
    <row r="734" ht="12.75">
      <c r="A734" s="8"/>
      <c r="D734" s="8"/>
    </row>
    <row r="735" ht="12.75">
      <c r="A735" s="8"/>
      <c r="D735" s="8"/>
    </row>
    <row r="736" ht="12.75">
      <c r="A736" s="8"/>
      <c r="D736" s="8"/>
    </row>
    <row r="737" ht="12.75">
      <c r="A737" s="8"/>
      <c r="D737" s="8"/>
    </row>
    <row r="738" ht="12.75">
      <c r="A738" s="8"/>
      <c r="D738" s="8"/>
    </row>
    <row r="739" ht="12.75">
      <c r="A739" s="8"/>
      <c r="D739" s="8"/>
    </row>
    <row r="740" ht="12.75">
      <c r="A740" s="8"/>
      <c r="D740" s="8"/>
    </row>
    <row r="741" ht="12.75">
      <c r="A741" s="8"/>
      <c r="D741" s="8"/>
    </row>
    <row r="742" ht="12.75">
      <c r="A742" s="8"/>
      <c r="D742" s="8"/>
    </row>
    <row r="743" ht="12.75">
      <c r="A743" s="8"/>
      <c r="D743" s="8"/>
    </row>
    <row r="744" ht="12.75">
      <c r="A744" s="8"/>
      <c r="D744" s="8"/>
    </row>
    <row r="745" ht="12.75">
      <c r="A745" s="8"/>
      <c r="D745" s="8"/>
    </row>
    <row r="746" ht="12.75">
      <c r="A746" s="8"/>
      <c r="D746" s="8"/>
    </row>
    <row r="747" ht="12.75">
      <c r="A747" s="8"/>
      <c r="D747" s="8"/>
    </row>
    <row r="748" ht="12.75">
      <c r="A748" s="8"/>
      <c r="D748" s="8"/>
    </row>
    <row r="749" ht="12.75">
      <c r="A749" s="8"/>
      <c r="D749" s="8"/>
    </row>
    <row r="750" ht="12.75">
      <c r="A750" s="8"/>
      <c r="D750" s="8"/>
    </row>
    <row r="751" ht="12.75">
      <c r="A751" s="8"/>
      <c r="D751" s="8"/>
    </row>
    <row r="752" ht="12.75">
      <c r="A752" s="8"/>
      <c r="D752" s="8"/>
    </row>
    <row r="753" ht="12.75">
      <c r="A753" s="8"/>
      <c r="D753" s="8"/>
    </row>
    <row r="754" ht="12.75">
      <c r="A754" s="8"/>
      <c r="D754" s="8"/>
    </row>
    <row r="755" ht="12.75">
      <c r="A755" s="8"/>
      <c r="D755" s="8"/>
    </row>
    <row r="756" ht="12.75">
      <c r="A756" s="8"/>
      <c r="D756" s="8"/>
    </row>
    <row r="757" ht="12.75">
      <c r="A757" s="8"/>
      <c r="D757" s="8"/>
    </row>
    <row r="758" ht="12.75">
      <c r="A758" s="8"/>
      <c r="D758" s="8"/>
    </row>
    <row r="759" ht="12.75">
      <c r="A759" s="8"/>
      <c r="D759" s="8"/>
    </row>
    <row r="760" ht="12.75">
      <c r="A760" s="8"/>
      <c r="D760" s="8"/>
    </row>
    <row r="761" ht="12.75">
      <c r="A761" s="8"/>
      <c r="D761" s="8"/>
    </row>
    <row r="762" ht="12.75">
      <c r="A762" s="8"/>
      <c r="D762" s="8"/>
    </row>
    <row r="763" ht="12.75">
      <c r="A763" s="8"/>
      <c r="D763" s="8"/>
    </row>
    <row r="764" ht="12.75">
      <c r="A764" s="8"/>
      <c r="D764" s="8"/>
    </row>
    <row r="765" ht="12.75">
      <c r="A765" s="8"/>
      <c r="D765" s="8"/>
    </row>
    <row r="766" ht="12.75">
      <c r="A766" s="8"/>
      <c r="D766" s="8"/>
    </row>
    <row r="767" ht="12.75">
      <c r="A767" s="8"/>
      <c r="D767" s="8"/>
    </row>
    <row r="768" ht="12.75">
      <c r="A768" s="8"/>
      <c r="D768" s="8"/>
    </row>
    <row r="769" ht="12.75">
      <c r="A769" s="8"/>
      <c r="D769" s="8"/>
    </row>
    <row r="770" ht="12.75">
      <c r="A770" s="8"/>
      <c r="D770" s="8"/>
    </row>
    <row r="771" ht="12.75">
      <c r="A771" s="8"/>
      <c r="D771" s="8"/>
    </row>
    <row r="772" ht="12.75">
      <c r="A772" s="8"/>
      <c r="D772" s="8"/>
    </row>
    <row r="773" ht="12.75">
      <c r="A773" s="8"/>
      <c r="D773" s="8"/>
    </row>
    <row r="774" ht="12.75">
      <c r="A774" s="8"/>
      <c r="D774" s="8"/>
    </row>
    <row r="775" ht="12.75">
      <c r="A775" s="8"/>
      <c r="D775" s="8"/>
    </row>
    <row r="776" ht="12.75">
      <c r="A776" s="8"/>
      <c r="D776" s="8"/>
    </row>
    <row r="777" ht="12.75">
      <c r="A777" s="8"/>
      <c r="D777" s="8"/>
    </row>
    <row r="778" ht="12.75">
      <c r="A778" s="8"/>
      <c r="D778" s="8"/>
    </row>
    <row r="779" ht="12.75">
      <c r="A779" s="8"/>
      <c r="D779" s="8"/>
    </row>
    <row r="780" ht="12.75">
      <c r="A780" s="8"/>
      <c r="D780" s="8"/>
    </row>
    <row r="781" ht="12.75">
      <c r="A781" s="8"/>
      <c r="D781" s="8"/>
    </row>
    <row r="782" ht="12.75">
      <c r="A782" s="8"/>
      <c r="D782" s="8"/>
    </row>
    <row r="783" ht="12.75">
      <c r="A783" s="8"/>
      <c r="D783" s="8"/>
    </row>
    <row r="784" ht="12.75">
      <c r="A784" s="8"/>
      <c r="D784" s="8"/>
    </row>
    <row r="785" ht="12.75">
      <c r="A785" s="8"/>
      <c r="D785" s="8"/>
    </row>
    <row r="786" ht="12.75">
      <c r="A786" s="8"/>
      <c r="D786" s="8"/>
    </row>
    <row r="787" ht="12.75">
      <c r="A787" s="8"/>
      <c r="D787" s="8"/>
    </row>
    <row r="788" ht="12.75">
      <c r="A788" s="8"/>
      <c r="D788" s="8"/>
    </row>
    <row r="789" ht="12.75">
      <c r="A789" s="8"/>
      <c r="D789" s="8"/>
    </row>
    <row r="790" ht="12.75">
      <c r="A790" s="8"/>
      <c r="D790" s="8"/>
    </row>
    <row r="791" ht="12.75">
      <c r="A791" s="8"/>
      <c r="D791" s="8"/>
    </row>
    <row r="792" ht="12.75">
      <c r="A792" s="8"/>
      <c r="D792" s="8"/>
    </row>
    <row r="793" ht="12.75">
      <c r="A793" s="8"/>
      <c r="D793" s="8"/>
    </row>
    <row r="794" ht="12.75">
      <c r="A794" s="8"/>
      <c r="D794" s="8"/>
    </row>
    <row r="795" ht="12.75">
      <c r="A795" s="8"/>
      <c r="D795" s="8"/>
    </row>
    <row r="796" ht="12.75">
      <c r="A796" s="8"/>
      <c r="D796" s="8"/>
    </row>
    <row r="797" ht="12.75">
      <c r="A797" s="8"/>
      <c r="D797" s="8"/>
    </row>
    <row r="798" ht="12.75">
      <c r="A798" s="8"/>
      <c r="D798" s="8"/>
    </row>
    <row r="799" ht="12.75">
      <c r="A799" s="8"/>
      <c r="D799" s="8"/>
    </row>
    <row r="800" ht="12.75">
      <c r="A800" s="8"/>
      <c r="D800" s="8"/>
    </row>
    <row r="801" ht="12.75">
      <c r="A801" s="8"/>
      <c r="D801" s="8"/>
    </row>
    <row r="802" ht="12.75">
      <c r="A802" s="8"/>
      <c r="D802" s="8"/>
    </row>
    <row r="803" ht="12.75">
      <c r="A803" s="8"/>
      <c r="D803" s="8"/>
    </row>
    <row r="804" ht="12.75">
      <c r="A804" s="8"/>
      <c r="D804" s="8"/>
    </row>
    <row r="805" ht="12.75">
      <c r="A805" s="8"/>
      <c r="D805" s="8"/>
    </row>
    <row r="806" ht="12.75">
      <c r="A806" s="8"/>
      <c r="D806" s="8"/>
    </row>
    <row r="807" ht="12.75">
      <c r="A807" s="8"/>
      <c r="D807" s="8"/>
    </row>
    <row r="808" ht="12.75">
      <c r="A808" s="8"/>
      <c r="D808" s="8"/>
    </row>
    <row r="809" ht="12.75">
      <c r="A809" s="8"/>
      <c r="D809" s="8"/>
    </row>
    <row r="810" ht="12.75">
      <c r="A810" s="8"/>
      <c r="D810" s="8"/>
    </row>
    <row r="811" ht="12.75">
      <c r="A811" s="8"/>
      <c r="D811" s="8"/>
    </row>
    <row r="812" ht="12.75">
      <c r="A812" s="8"/>
      <c r="D812" s="8"/>
    </row>
    <row r="813" ht="12.75">
      <c r="A813" s="8"/>
      <c r="D813" s="8"/>
    </row>
    <row r="814" ht="12.75">
      <c r="A814" s="8"/>
      <c r="D814" s="8"/>
    </row>
    <row r="815" ht="12.75">
      <c r="A815" s="8"/>
      <c r="D815" s="8"/>
    </row>
    <row r="816" ht="12.75">
      <c r="A816" s="8"/>
      <c r="D816" s="8"/>
    </row>
    <row r="817" ht="12.75">
      <c r="A817" s="8"/>
      <c r="D817" s="8"/>
    </row>
    <row r="818" ht="12.75">
      <c r="A818" s="8"/>
      <c r="D818" s="8"/>
    </row>
    <row r="819" ht="12.75">
      <c r="A819" s="8"/>
      <c r="D819" s="8"/>
    </row>
    <row r="820" ht="12.75">
      <c r="A820" s="8"/>
      <c r="D820" s="8"/>
    </row>
    <row r="821" ht="12.75">
      <c r="A821" s="8"/>
      <c r="D821" s="8"/>
    </row>
    <row r="822" ht="12.75">
      <c r="A822" s="8"/>
      <c r="D822" s="8"/>
    </row>
    <row r="823" ht="12.75">
      <c r="A823" s="8"/>
      <c r="D823" s="8"/>
    </row>
    <row r="824" ht="12.75">
      <c r="A824" s="8"/>
      <c r="D824" s="8"/>
    </row>
    <row r="825" ht="12.75">
      <c r="A825" s="8"/>
      <c r="D825" s="8"/>
    </row>
    <row r="826" ht="12.75">
      <c r="A826" s="8"/>
      <c r="D826" s="8"/>
    </row>
    <row r="827" ht="12.75">
      <c r="A827" s="8"/>
      <c r="D827" s="8"/>
    </row>
    <row r="828" ht="12.75">
      <c r="A828" s="8"/>
      <c r="D828" s="8"/>
    </row>
    <row r="829" ht="12.75">
      <c r="A829" s="8"/>
      <c r="D829" s="8"/>
    </row>
    <row r="830" ht="12.75">
      <c r="A830" s="8"/>
      <c r="D830" s="8"/>
    </row>
    <row r="831" ht="12.75">
      <c r="A831" s="8"/>
      <c r="D831" s="8"/>
    </row>
    <row r="832" ht="12.75">
      <c r="A832" s="8"/>
      <c r="D832" s="8"/>
    </row>
    <row r="833" ht="12.75">
      <c r="A833" s="8"/>
      <c r="D833" s="8"/>
    </row>
    <row r="834" ht="12.75">
      <c r="A834" s="8"/>
      <c r="D834" s="8"/>
    </row>
    <row r="835" ht="12.75">
      <c r="A835" s="8"/>
      <c r="D835" s="8"/>
    </row>
    <row r="836" ht="12.75">
      <c r="A836" s="8"/>
      <c r="D836" s="8"/>
    </row>
    <row r="837" ht="12.75">
      <c r="A837" s="8"/>
      <c r="D837" s="8"/>
    </row>
    <row r="838" ht="12.75">
      <c r="A838" s="8"/>
      <c r="D838" s="8"/>
    </row>
    <row r="839" ht="12.75">
      <c r="A839" s="8"/>
      <c r="D839" s="8"/>
    </row>
    <row r="840" ht="12.75">
      <c r="A840" s="8"/>
      <c r="D840" s="8"/>
    </row>
    <row r="841" ht="12.75">
      <c r="A841" s="8"/>
      <c r="D841" s="8"/>
    </row>
    <row r="842" ht="12.75">
      <c r="A842" s="8"/>
      <c r="D842" s="8"/>
    </row>
    <row r="843" ht="12.75">
      <c r="A843" s="8"/>
      <c r="D843" s="8"/>
    </row>
    <row r="844" ht="12.75">
      <c r="A844" s="8"/>
      <c r="D844" s="8"/>
    </row>
    <row r="845" ht="12.75">
      <c r="A845" s="8"/>
      <c r="D845" s="8"/>
    </row>
    <row r="846" ht="12.75">
      <c r="A846" s="8"/>
      <c r="D846" s="8"/>
    </row>
    <row r="847" ht="12.75">
      <c r="A847" s="8"/>
      <c r="D847" s="8"/>
    </row>
    <row r="848" ht="12.75">
      <c r="A848" s="8"/>
      <c r="D848" s="8"/>
    </row>
    <row r="849" ht="12.75">
      <c r="A849" s="8"/>
      <c r="D849" s="8"/>
    </row>
    <row r="850" ht="12.75">
      <c r="A850" s="8"/>
      <c r="D850" s="8"/>
    </row>
    <row r="851" ht="12.75">
      <c r="A851" s="8"/>
      <c r="D851" s="8"/>
    </row>
    <row r="852" ht="12.75">
      <c r="A852" s="8"/>
      <c r="D852" s="8"/>
    </row>
    <row r="853" ht="12.75">
      <c r="A853" s="8"/>
      <c r="D853" s="8"/>
    </row>
    <row r="854" ht="12.75">
      <c r="A854" s="8"/>
      <c r="D854" s="8"/>
    </row>
    <row r="855" ht="12.75">
      <c r="A855" s="8"/>
      <c r="D855" s="8"/>
    </row>
    <row r="856" ht="12.75">
      <c r="A856" s="8"/>
      <c r="D856" s="8"/>
    </row>
    <row r="857" ht="12.75">
      <c r="A857" s="8"/>
      <c r="D857" s="8"/>
    </row>
    <row r="858" ht="12.75">
      <c r="A858" s="8"/>
      <c r="D858" s="8"/>
    </row>
    <row r="859" ht="12.75">
      <c r="A859" s="8"/>
      <c r="D859" s="8"/>
    </row>
    <row r="860" ht="12.75">
      <c r="A860" s="8"/>
      <c r="D860" s="8"/>
    </row>
    <row r="861" ht="12.75">
      <c r="A861" s="8"/>
      <c r="D861" s="8"/>
    </row>
    <row r="862" ht="12.75">
      <c r="A862" s="8"/>
      <c r="D862" s="8"/>
    </row>
    <row r="863" ht="12.75">
      <c r="A863" s="8"/>
      <c r="D863" s="8"/>
    </row>
    <row r="864" ht="12.75">
      <c r="A864" s="8"/>
      <c r="D864" s="8"/>
    </row>
    <row r="865" ht="12.75">
      <c r="A865" s="8"/>
      <c r="D865" s="8"/>
    </row>
    <row r="866" ht="12.75">
      <c r="A866" s="8"/>
      <c r="D866" s="8"/>
    </row>
    <row r="867" ht="12.75">
      <c r="A867" s="8"/>
      <c r="D867" s="8"/>
    </row>
    <row r="868" ht="12.75">
      <c r="A868" s="8"/>
      <c r="D868" s="8"/>
    </row>
    <row r="869" ht="12.75">
      <c r="A869" s="8"/>
      <c r="D869" s="8"/>
    </row>
    <row r="870" ht="12.75">
      <c r="A870" s="8"/>
      <c r="D870" s="8"/>
    </row>
    <row r="871" ht="12.75">
      <c r="A871" s="8"/>
      <c r="D871" s="8"/>
    </row>
    <row r="872" ht="12.75">
      <c r="A872" s="8"/>
      <c r="D872" s="8"/>
    </row>
    <row r="873" ht="12.75">
      <c r="A873" s="8"/>
      <c r="D873" s="8"/>
    </row>
    <row r="874" ht="12.75">
      <c r="A874" s="8"/>
      <c r="D874" s="8"/>
    </row>
    <row r="875" ht="12.75">
      <c r="A875" s="8"/>
      <c r="D875" s="8"/>
    </row>
    <row r="876" ht="12.75">
      <c r="A876" s="8"/>
      <c r="D876" s="8"/>
    </row>
    <row r="877" ht="12.75">
      <c r="A877" s="8"/>
      <c r="D877" s="8"/>
    </row>
    <row r="878" ht="12.75">
      <c r="A878" s="8"/>
      <c r="D878" s="8"/>
    </row>
    <row r="879" ht="12.75">
      <c r="A879" s="8"/>
      <c r="D879" s="8"/>
    </row>
    <row r="880" ht="12.75">
      <c r="A880" s="8"/>
      <c r="D880" s="8"/>
    </row>
    <row r="881" ht="12.75">
      <c r="A881" s="8"/>
      <c r="D881" s="8"/>
    </row>
    <row r="882" ht="12.75">
      <c r="A882" s="8"/>
      <c r="D882" s="8"/>
    </row>
    <row r="883" ht="12.75">
      <c r="A883" s="8"/>
      <c r="D883" s="8"/>
    </row>
    <row r="884" ht="12.75">
      <c r="A884" s="8"/>
      <c r="D884" s="8"/>
    </row>
    <row r="885" ht="12.75">
      <c r="A885" s="8"/>
      <c r="D885" s="8"/>
    </row>
    <row r="886" ht="12.75">
      <c r="A886" s="8"/>
      <c r="D886" s="8"/>
    </row>
    <row r="887" ht="12.75">
      <c r="A887" s="8"/>
      <c r="D887" s="8"/>
    </row>
    <row r="888" ht="12.75">
      <c r="A888" s="8"/>
      <c r="D888" s="8"/>
    </row>
    <row r="889" ht="12.75">
      <c r="A889" s="8"/>
      <c r="D889" s="8"/>
    </row>
    <row r="890" ht="12.75">
      <c r="A890" s="8"/>
      <c r="D890" s="8"/>
    </row>
    <row r="891" ht="12.75">
      <c r="A891" s="8"/>
      <c r="D891" s="8"/>
    </row>
    <row r="892" ht="12.75">
      <c r="A892" s="8"/>
      <c r="D892" s="8"/>
    </row>
    <row r="893" ht="12.75">
      <c r="A893" s="8"/>
      <c r="D893" s="8"/>
    </row>
    <row r="894" ht="12.75">
      <c r="A894" s="8"/>
      <c r="D894" s="8"/>
    </row>
    <row r="895" ht="12.75">
      <c r="A895" s="8"/>
      <c r="D895" s="8"/>
    </row>
    <row r="896" ht="12.75">
      <c r="A896" s="8"/>
      <c r="D896" s="8"/>
    </row>
    <row r="897" ht="12.75">
      <c r="A897" s="8"/>
      <c r="D897" s="8"/>
    </row>
    <row r="898" ht="12.75">
      <c r="A898" s="8"/>
      <c r="D898" s="8"/>
    </row>
    <row r="899" ht="12.75">
      <c r="A899" s="8"/>
      <c r="D899" s="8"/>
    </row>
    <row r="900" ht="12.75">
      <c r="A900" s="8"/>
      <c r="D900" s="8"/>
    </row>
    <row r="901" ht="12.75">
      <c r="A901" s="8"/>
      <c r="D901" s="8"/>
    </row>
    <row r="902" ht="12.75">
      <c r="A902" s="8"/>
      <c r="D902" s="8"/>
    </row>
    <row r="903" ht="12.75">
      <c r="A903" s="8"/>
      <c r="D903" s="8"/>
    </row>
    <row r="904" ht="12.75">
      <c r="A904" s="8"/>
      <c r="D904" s="8"/>
    </row>
    <row r="905" ht="12.75">
      <c r="A905" s="8"/>
      <c r="D905" s="8"/>
    </row>
    <row r="906" ht="12.75">
      <c r="A906" s="8"/>
      <c r="D906" s="8"/>
    </row>
    <row r="907" ht="12.75">
      <c r="A907" s="8"/>
      <c r="D907" s="8"/>
    </row>
    <row r="908" ht="12.75">
      <c r="A908" s="8"/>
      <c r="D908" s="8"/>
    </row>
    <row r="909" ht="12.75">
      <c r="A909" s="8"/>
      <c r="D909" s="8"/>
    </row>
    <row r="910" ht="12.75">
      <c r="A910" s="8"/>
      <c r="D910" s="8"/>
    </row>
    <row r="911" ht="12.75">
      <c r="A911" s="8"/>
      <c r="D911" s="8"/>
    </row>
    <row r="912" ht="12.75">
      <c r="A912" s="8"/>
      <c r="D912" s="8"/>
    </row>
    <row r="913" ht="12.75">
      <c r="A913" s="8"/>
      <c r="D913" s="8"/>
    </row>
    <row r="914" ht="12.75">
      <c r="A914" s="8"/>
      <c r="D914" s="8"/>
    </row>
    <row r="915" ht="12.75">
      <c r="A915" s="8"/>
      <c r="D915" s="8"/>
    </row>
    <row r="916" ht="12.75">
      <c r="A916" s="8"/>
      <c r="D916" s="8"/>
    </row>
    <row r="917" ht="12.75">
      <c r="A917" s="8"/>
      <c r="D917" s="8"/>
    </row>
    <row r="918" ht="12.75">
      <c r="A918" s="8"/>
      <c r="D918" s="8"/>
    </row>
    <row r="919" ht="12.75">
      <c r="A919" s="8"/>
      <c r="D919" s="8"/>
    </row>
    <row r="920" ht="12.75">
      <c r="A920" s="8"/>
      <c r="D920" s="8"/>
    </row>
    <row r="921" ht="12.75">
      <c r="A921" s="8"/>
      <c r="D921" s="8"/>
    </row>
    <row r="922" ht="12.75">
      <c r="A922" s="8"/>
      <c r="D922" s="8"/>
    </row>
    <row r="923" ht="12.75">
      <c r="A923" s="8"/>
      <c r="D923" s="8"/>
    </row>
    <row r="924" ht="12.75">
      <c r="A924" s="8"/>
      <c r="D924" s="8"/>
    </row>
    <row r="925" ht="12.75">
      <c r="A925" s="8"/>
      <c r="D925" s="8"/>
    </row>
    <row r="926" ht="12.75">
      <c r="A926" s="8"/>
      <c r="D926" s="8"/>
    </row>
    <row r="927" ht="12.75">
      <c r="A927" s="8"/>
      <c r="D927" s="8"/>
    </row>
    <row r="928" ht="12.75">
      <c r="A928" s="8"/>
      <c r="D928" s="8"/>
    </row>
    <row r="929" ht="12.75">
      <c r="A929" s="8"/>
      <c r="D929" s="8"/>
    </row>
    <row r="930" ht="12.75">
      <c r="A930" s="8"/>
      <c r="D930" s="8"/>
    </row>
    <row r="931" ht="12.75">
      <c r="A931" s="8"/>
      <c r="D931" s="8"/>
    </row>
    <row r="932" ht="12.75">
      <c r="A932" s="8"/>
      <c r="D932" s="8"/>
    </row>
    <row r="933" ht="12.75">
      <c r="A933" s="8"/>
      <c r="D933" s="8"/>
    </row>
    <row r="934" ht="12.75">
      <c r="A934" s="8"/>
      <c r="D934" s="8"/>
    </row>
    <row r="935" ht="12.75">
      <c r="A935" s="8"/>
      <c r="D935" s="8"/>
    </row>
    <row r="936" ht="12.75">
      <c r="A936" s="8"/>
      <c r="D936" s="8"/>
    </row>
    <row r="937" ht="12.75">
      <c r="A937" s="8"/>
      <c r="D937" s="8"/>
    </row>
    <row r="938" ht="12.75">
      <c r="A938" s="8"/>
      <c r="D938" s="8"/>
    </row>
    <row r="939" ht="12.75">
      <c r="A939" s="8"/>
      <c r="D939" s="8"/>
    </row>
    <row r="940" ht="12.75">
      <c r="A940" s="8"/>
      <c r="D940" s="8"/>
    </row>
    <row r="941" ht="12.75">
      <c r="A941" s="8"/>
      <c r="D941" s="8"/>
    </row>
    <row r="942" ht="12.75">
      <c r="A942" s="8"/>
      <c r="D942" s="8"/>
    </row>
    <row r="943" ht="12.75">
      <c r="A943" s="8"/>
      <c r="D943" s="8"/>
    </row>
    <row r="944" ht="12.75">
      <c r="A944" s="8"/>
      <c r="D944" s="8"/>
    </row>
    <row r="945" ht="12.75">
      <c r="A945" s="8"/>
      <c r="D945" s="8"/>
    </row>
    <row r="946" ht="12.75">
      <c r="A946" s="8"/>
      <c r="D946" s="8"/>
    </row>
    <row r="947" ht="12.75">
      <c r="A947" s="8"/>
      <c r="D947" s="8"/>
    </row>
    <row r="948" ht="12.75">
      <c r="A948" s="8"/>
      <c r="D948" s="8"/>
    </row>
    <row r="949" ht="12.75">
      <c r="A949" s="8"/>
      <c r="D949" s="8"/>
    </row>
    <row r="950" ht="12.75">
      <c r="A950" s="8"/>
      <c r="D950" s="8"/>
    </row>
    <row r="951" ht="12.75">
      <c r="A951" s="8"/>
      <c r="D951" s="8"/>
    </row>
    <row r="952" ht="12.75">
      <c r="A952" s="8"/>
      <c r="D952" s="8"/>
    </row>
    <row r="953" ht="12.75">
      <c r="A953" s="8"/>
      <c r="D953" s="8"/>
    </row>
    <row r="954" ht="12.75">
      <c r="A954" s="8"/>
      <c r="D954" s="8"/>
    </row>
    <row r="955" ht="12.75">
      <c r="A955" s="8"/>
      <c r="D955" s="8"/>
    </row>
    <row r="956" ht="12.75">
      <c r="A956" s="8"/>
      <c r="D956" s="8"/>
    </row>
    <row r="957" ht="12.75">
      <c r="A957" s="8"/>
      <c r="D957" s="8"/>
    </row>
    <row r="958" ht="12.75">
      <c r="A958" s="8"/>
      <c r="D958" s="8"/>
    </row>
    <row r="959" ht="12.75">
      <c r="A959" s="8"/>
      <c r="D959" s="8"/>
    </row>
    <row r="960" ht="12.75">
      <c r="A960" s="8"/>
      <c r="D960" s="8"/>
    </row>
    <row r="961" ht="12.75">
      <c r="A961" s="8"/>
      <c r="D961" s="8"/>
    </row>
    <row r="962" ht="12.75">
      <c r="A962" s="8"/>
      <c r="D962" s="8"/>
    </row>
    <row r="963" ht="12.75">
      <c r="A963" s="8"/>
      <c r="D963" s="8"/>
    </row>
    <row r="964" ht="12.75">
      <c r="A964" s="8"/>
      <c r="D964" s="8"/>
    </row>
    <row r="965" ht="12.75">
      <c r="A965" s="8"/>
      <c r="D965" s="8"/>
    </row>
    <row r="966" ht="12.75">
      <c r="A966" s="8"/>
      <c r="D966" s="8"/>
    </row>
    <row r="967" ht="12.75">
      <c r="A967" s="8"/>
      <c r="D967" s="8"/>
    </row>
    <row r="968" ht="12.75">
      <c r="A968" s="8"/>
      <c r="D968" s="8"/>
    </row>
    <row r="969" ht="12.75">
      <c r="A969" s="8"/>
      <c r="D969" s="8"/>
    </row>
    <row r="970" ht="12.75">
      <c r="A970" s="8"/>
      <c r="D970" s="8"/>
    </row>
    <row r="971" ht="12.75">
      <c r="A971" s="8"/>
      <c r="D971" s="8"/>
    </row>
    <row r="972" ht="12.75">
      <c r="A972" s="8"/>
      <c r="D972" s="8"/>
    </row>
    <row r="973" ht="12.75">
      <c r="A973" s="8"/>
      <c r="D973" s="8"/>
    </row>
    <row r="974" ht="12.75">
      <c r="A974" s="8"/>
      <c r="D974" s="8"/>
    </row>
    <row r="975" ht="12.75">
      <c r="A975" s="8"/>
      <c r="D975" s="8"/>
    </row>
    <row r="976" ht="12.75">
      <c r="A976" s="8"/>
      <c r="D976" s="8"/>
    </row>
    <row r="977" ht="12.75">
      <c r="A977" s="8"/>
      <c r="D977" s="8"/>
    </row>
    <row r="978" ht="12.75">
      <c r="A978" s="8"/>
      <c r="D978" s="8"/>
    </row>
    <row r="979" ht="12.75">
      <c r="A979" s="8"/>
      <c r="D979" s="8"/>
    </row>
    <row r="980" ht="12.75">
      <c r="A980" s="8"/>
      <c r="D980" s="8"/>
    </row>
    <row r="981" ht="12.75">
      <c r="A981" s="8"/>
      <c r="D981" s="8"/>
    </row>
    <row r="982" ht="12.75">
      <c r="A982" s="8"/>
      <c r="D982" s="8"/>
    </row>
    <row r="983" ht="12.75">
      <c r="A983" s="8"/>
      <c r="D983" s="8"/>
    </row>
    <row r="984" ht="12.75">
      <c r="A984" s="8"/>
      <c r="D984" s="8"/>
    </row>
    <row r="985" ht="12.75">
      <c r="A985" s="8"/>
      <c r="D985" s="8"/>
    </row>
    <row r="986" ht="12.75">
      <c r="A986" s="8"/>
      <c r="D986" s="8"/>
    </row>
    <row r="987" ht="12.75">
      <c r="A987" s="8"/>
      <c r="D987" s="8"/>
    </row>
    <row r="988" ht="12.75">
      <c r="A988" s="8"/>
      <c r="D988" s="8"/>
    </row>
    <row r="989" ht="12.75">
      <c r="A989" s="8"/>
      <c r="D989" s="8"/>
    </row>
    <row r="990" ht="12.75">
      <c r="A990" s="8"/>
      <c r="D990" s="8"/>
    </row>
    <row r="991" ht="12.75">
      <c r="A991" s="8"/>
      <c r="D991" s="8"/>
    </row>
    <row r="992" ht="12.75">
      <c r="A992" s="8"/>
      <c r="D992" s="8"/>
    </row>
    <row r="993" ht="12.75">
      <c r="A993" s="8"/>
      <c r="D993" s="8"/>
    </row>
    <row r="994" ht="12.75">
      <c r="A994" s="8"/>
      <c r="D994" s="8"/>
    </row>
    <row r="995" ht="12.75">
      <c r="A995" s="8"/>
      <c r="D995" s="8"/>
    </row>
    <row r="996" ht="12.75">
      <c r="A996" s="8"/>
      <c r="D996" s="8"/>
    </row>
    <row r="997" ht="12.75">
      <c r="A997" s="8"/>
      <c r="D997" s="8"/>
    </row>
    <row r="998" ht="12.75">
      <c r="A998" s="8"/>
      <c r="D998" s="8"/>
    </row>
    <row r="999" ht="12.75">
      <c r="A999" s="8"/>
      <c r="D999" s="8"/>
    </row>
  </sheetData>
  <mergeCells count="1">
    <mergeCell ref="A4:C4"/>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9.140625" defaultRowHeight="12.75"/>
  <cols>
    <col customWidth="1" min="1" max="1" width="24.85546875"/>
    <col customWidth="1" min="2" max="2" width="40.85546875"/>
    <col customWidth="1" min="3" max="3" width="35.5703125"/>
    <col customWidth="1" min="4" max="4" width="41.42578125"/>
  </cols>
  <sheetData>
    <row r="1">
      <c r="A1" s="95" t="s">
        <v>13</v>
      </c>
      <c r="B1" s="96" t="str">
        <f>Classes!B1</f>
        <v>http://data.esante.gouv.fr/ansm/medicament</v>
      </c>
      <c r="C1" s="97"/>
      <c r="D1" s="97"/>
    </row>
    <row r="2">
      <c r="A2" s="97"/>
      <c r="B2" s="97"/>
      <c r="C2" s="97"/>
      <c r="D2" s="97"/>
    </row>
    <row r="3">
      <c r="A3" s="97"/>
      <c r="B3" s="97"/>
      <c r="C3" s="97"/>
      <c r="D3" s="97"/>
    </row>
    <row r="4">
      <c r="A4" s="97"/>
      <c r="B4" s="97"/>
      <c r="C4" s="97"/>
      <c r="D4" s="97"/>
    </row>
    <row r="5">
      <c r="A5" s="97"/>
      <c r="B5" s="97"/>
      <c r="C5" s="97"/>
      <c r="D5" s="97"/>
    </row>
    <row r="6">
      <c r="A6" s="97"/>
      <c r="B6" s="97"/>
      <c r="C6" s="97"/>
      <c r="D6" s="97"/>
    </row>
    <row r="7">
      <c r="A7" s="98" t="s">
        <v>34</v>
      </c>
      <c r="B7" s="98" t="s">
        <v>19</v>
      </c>
      <c r="C7" s="98" t="s">
        <v>822</v>
      </c>
      <c r="D7" s="98" t="s">
        <v>823</v>
      </c>
    </row>
    <row r="8" ht="56.25" customHeight="1">
      <c r="A8" s="20" t="s">
        <v>56</v>
      </c>
      <c r="B8" s="20" t="s">
        <v>824</v>
      </c>
      <c r="C8" s="20"/>
      <c r="D8" s="99">
        <v>1</v>
      </c>
    </row>
    <row r="9" ht="43.5" customHeight="1">
      <c r="A9" s="20" t="s">
        <v>82</v>
      </c>
      <c r="B9" t="s">
        <v>825</v>
      </c>
      <c r="D9">
        <v>2</v>
      </c>
    </row>
    <row r="10" ht="40.5" customHeight="1">
      <c r="A10" s="20" t="s">
        <v>163</v>
      </c>
      <c r="B10" s="100" t="s">
        <v>826</v>
      </c>
      <c r="C10" s="97"/>
      <c r="D10" s="99">
        <v>3</v>
      </c>
    </row>
    <row r="11">
      <c r="A11" s="20" t="s">
        <v>171</v>
      </c>
      <c r="B11" s="20" t="s">
        <v>827</v>
      </c>
      <c r="C11" s="20"/>
      <c r="D11" s="99">
        <v>4</v>
      </c>
    </row>
  </sheetData>
  <hyperlinks>
    <hyperlink r:id="rId1" ref="B1"/>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55</cp:revision>
  <dcterms:modified xsi:type="dcterms:W3CDTF">2026-03-10T12:01:25Z</dcterms:modified>
</cp:coreProperties>
</file>